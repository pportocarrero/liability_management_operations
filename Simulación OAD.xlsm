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8.xml" ContentType="application/vnd.openxmlformats-officedocument.drawing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0.xml" ContentType="application/vnd.openxmlformats-officedocument.drawing+xml"/>
  <Override PartName="/xl/ctrlProps/ctrlProp21.xml" ContentType="application/vnd.ms-excel.controlproperties+xml"/>
  <Override PartName="/xl/drawings/drawing11.xml" ContentType="application/vnd.openxmlformats-officedocument.drawing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a2b4d56148715ad/Desktop/"/>
    </mc:Choice>
  </mc:AlternateContent>
  <xr:revisionPtr revIDLastSave="3943" documentId="13_ncr:1_{7FE10867-8C71-4437-B52B-4642C2445DB2}" xr6:coauthVersionLast="47" xr6:coauthVersionMax="47" xr10:uidLastSave="{A839BB87-9E2A-466D-8A01-A1317E909D9F}"/>
  <bookViews>
    <workbookView xWindow="-103" yWindow="-103" windowWidth="26537" windowHeight="16063" tabRatio="713" activeTab="7" xr2:uid="{00000000-000D-0000-FFFF-FFFF00000000}"/>
  </bookViews>
  <sheets>
    <sheet name="start" sheetId="2" r:id="rId1"/>
    <sheet name="start_back" sheetId="8" state="hidden" r:id="rId2"/>
    <sheet name="start_usr" sheetId="21" r:id="rId3"/>
    <sheet name="instrucciones" sheetId="1" r:id="rId4"/>
    <sheet name="resumen" sheetId="5" r:id="rId5"/>
    <sheet name="mercados" sheetId="7" r:id="rId6"/>
    <sheet name="portafolio" sheetId="12" r:id="rId7"/>
    <sheet name="intercambio" sheetId="9" r:id="rId8"/>
    <sheet name="bond_swaps" sheetId="31" r:id="rId9"/>
    <sheet name="bd_historicas" sheetId="3" r:id="rId10"/>
    <sheet name="icap" sheetId="18" r:id="rId11"/>
    <sheet name="curvas" sheetId="19" r:id="rId12"/>
    <sheet name="curvas_EUR" sheetId="22" r:id="rId13"/>
    <sheet name="bond_interp" sheetId="24" r:id="rId14"/>
    <sheet name="sov_bond" sheetId="32" r:id="rId15"/>
    <sheet name="cf_analisis" sheetId="29" r:id="rId16"/>
    <sheet name="bs_flujo" sheetId="27" r:id="rId17"/>
    <sheet name="bd_schd" sheetId="20" r:id="rId18"/>
    <sheet name="prepago" sheetId="10" r:id="rId19"/>
    <sheet name="flujos" sheetId="25" r:id="rId20"/>
    <sheet name="flujos_res" sheetId="28" r:id="rId21"/>
    <sheet name="bd_bonos" sheetId="4" r:id="rId22"/>
    <sheet name="bond_calc" sheetId="16" r:id="rId23"/>
    <sheet name="bd_bonos (2)" sheetId="13" state="hidden" r:id="rId24"/>
    <sheet name="tickers_mkts" sheetId="11" r:id="rId25"/>
    <sheet name="users" sheetId="6" r:id="rId26"/>
    <sheet name="pendientes" sheetId="23" state="hidden" r:id="rId27"/>
    <sheet name="Hoja2" sheetId="26" state="hidden" r:id="rId28"/>
    <sheet name="Acerca de" sheetId="30" r:id="rId29"/>
  </sheets>
  <functionGroups builtInGroupCount="19"/>
  <definedNames>
    <definedName name="_xlnm._FilterDatabase" localSheetId="13" hidden="1">bond_interp!$A$1:$J$14</definedName>
    <definedName name="inclusion">tickers_mkts!$E$2:$E$3</definedName>
    <definedName name="solver_adj" localSheetId="7" hidden="1">intercambio!$K$19:$K$23</definedName>
    <definedName name="solver_cvg" localSheetId="7" hidden="1">0.0001</definedName>
    <definedName name="solver_drv" localSheetId="7" hidden="1">1</definedName>
    <definedName name="solver_eng" localSheetId="7" hidden="1">1</definedName>
    <definedName name="solver_est" localSheetId="7" hidden="1">1</definedName>
    <definedName name="solver_itr" localSheetId="7" hidden="1">2147483647</definedName>
    <definedName name="solver_mip" localSheetId="7" hidden="1">2147483647</definedName>
    <definedName name="solver_mni" localSheetId="7" hidden="1">30</definedName>
    <definedName name="solver_mrt" localSheetId="7" hidden="1">0.075</definedName>
    <definedName name="solver_msl" localSheetId="7" hidden="1">2</definedName>
    <definedName name="solver_neg" localSheetId="7" hidden="1">1</definedName>
    <definedName name="solver_nod" localSheetId="7" hidden="1">2147483647</definedName>
    <definedName name="solver_num" localSheetId="7" hidden="1">0</definedName>
    <definedName name="solver_nwt" localSheetId="7" hidden="1">1</definedName>
    <definedName name="solver_opt" localSheetId="7" hidden="1">intercambio!$I$27</definedName>
    <definedName name="solver_pre" localSheetId="7" hidden="1">0.000001</definedName>
    <definedName name="solver_rbv" localSheetId="7" hidden="1">1</definedName>
    <definedName name="solver_rlx" localSheetId="7" hidden="1">2</definedName>
    <definedName name="solver_rsd" localSheetId="7" hidden="1">0</definedName>
    <definedName name="solver_scl" localSheetId="7" hidden="1">1</definedName>
    <definedName name="solver_sho" localSheetId="7" hidden="1">2</definedName>
    <definedName name="solver_ssz" localSheetId="7" hidden="1">100</definedName>
    <definedName name="solver_tim" localSheetId="7" hidden="1">2147483647</definedName>
    <definedName name="solver_tol" localSheetId="7" hidden="1">0.01</definedName>
    <definedName name="solver_typ" localSheetId="7" hidden="1">2</definedName>
    <definedName name="solver_val" localSheetId="7" hidden="1">0</definedName>
    <definedName name="solver_ver" localSheetId="7" hidden="1">3</definedName>
    <definedName name="SpreadsheetBuilder_1" hidden="1">bd_historicas!$D$30:$L$36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7" i="9" l="1"/>
  <c r="O26" i="9"/>
  <c r="M26" i="9"/>
  <c r="J26" i="9"/>
  <c r="P26" i="9"/>
  <c r="Q26" i="9" s="1"/>
  <c r="G26" i="9"/>
  <c r="H25" i="9"/>
  <c r="P25" i="9"/>
  <c r="F25" i="9"/>
  <c r="E25" i="9"/>
  <c r="M25" i="9" s="1"/>
  <c r="I20" i="9"/>
  <c r="I19" i="9"/>
  <c r="I18" i="9"/>
  <c r="F20" i="9"/>
  <c r="F19" i="9"/>
  <c r="F18" i="9"/>
  <c r="D20" i="9"/>
  <c r="D19" i="9"/>
  <c r="D18" i="9"/>
  <c r="D14" i="9"/>
  <c r="D13" i="9"/>
  <c r="D12" i="9"/>
  <c r="K8" i="9"/>
  <c r="J8" i="9"/>
  <c r="I14" i="9" s="1"/>
  <c r="J20" i="9" s="1"/>
  <c r="I8" i="9"/>
  <c r="G14" i="9" s="1"/>
  <c r="H8" i="9"/>
  <c r="G8" i="9"/>
  <c r="E14" i="9" s="1"/>
  <c r="F8" i="9"/>
  <c r="E8" i="9"/>
  <c r="L20" i="9" s="1"/>
  <c r="K7" i="9"/>
  <c r="J7" i="9"/>
  <c r="I13" i="9" s="1"/>
  <c r="J19" i="9" s="1"/>
  <c r="I7" i="9"/>
  <c r="G13" i="9" s="1"/>
  <c r="H7" i="9"/>
  <c r="G7" i="9"/>
  <c r="E13" i="9" s="1"/>
  <c r="F7" i="9"/>
  <c r="E7" i="9"/>
  <c r="L19" i="9" s="1"/>
  <c r="K6" i="9"/>
  <c r="J6" i="9"/>
  <c r="I12" i="9" s="1"/>
  <c r="J18" i="9" s="1"/>
  <c r="I6" i="9"/>
  <c r="G12" i="9" s="1"/>
  <c r="H6" i="9"/>
  <c r="G6" i="9"/>
  <c r="E12" i="9" s="1"/>
  <c r="F6" i="9"/>
  <c r="E6" i="9"/>
  <c r="L18" i="9" s="1"/>
  <c r="N9" i="31"/>
  <c r="L9" i="31"/>
  <c r="K9" i="31"/>
  <c r="J9" i="31"/>
  <c r="I9" i="31"/>
  <c r="H9" i="31"/>
  <c r="G9" i="31"/>
  <c r="E9" i="31"/>
  <c r="O9" i="31" s="1"/>
  <c r="D9" i="31"/>
  <c r="C9" i="31"/>
  <c r="M9" i="31" s="1"/>
  <c r="N8" i="31"/>
  <c r="N7" i="31"/>
  <c r="N6" i="31"/>
  <c r="N5" i="31"/>
  <c r="N4" i="31"/>
  <c r="N3" i="31"/>
  <c r="N2" i="31"/>
  <c r="A2" i="31"/>
  <c r="A2" i="32"/>
  <c r="B1" i="18"/>
  <c r="B4" i="3"/>
  <c r="B3" i="3"/>
  <c r="B2" i="3"/>
  <c r="B1" i="3"/>
  <c r="B14" i="9"/>
  <c r="B15" i="9"/>
  <c r="B16" i="9"/>
  <c r="B11" i="9"/>
  <c r="B10" i="9"/>
  <c r="W31" i="9"/>
  <c r="V31" i="9"/>
  <c r="U31" i="9"/>
  <c r="T31" i="9"/>
  <c r="W30" i="9"/>
  <c r="V30" i="9"/>
  <c r="U30" i="9"/>
  <c r="T30" i="9"/>
  <c r="W29" i="9"/>
  <c r="V29" i="9"/>
  <c r="U29" i="9"/>
  <c r="T29" i="9"/>
  <c r="W28" i="9"/>
  <c r="V28" i="9"/>
  <c r="U28" i="9"/>
  <c r="T28" i="9"/>
  <c r="W27" i="9"/>
  <c r="V27" i="9"/>
  <c r="U27" i="9"/>
  <c r="T27" i="9"/>
  <c r="W26" i="9"/>
  <c r="V26" i="9"/>
  <c r="U26" i="9"/>
  <c r="T26" i="9"/>
  <c r="W25" i="9"/>
  <c r="V25" i="9"/>
  <c r="U25" i="9"/>
  <c r="T25" i="9"/>
  <c r="W24" i="9"/>
  <c r="V24" i="9"/>
  <c r="U24" i="9"/>
  <c r="T24" i="9"/>
  <c r="W23" i="9"/>
  <c r="V23" i="9"/>
  <c r="U23" i="9"/>
  <c r="T23" i="9"/>
  <c r="W22" i="9"/>
  <c r="V22" i="9"/>
  <c r="U22" i="9"/>
  <c r="T22" i="9"/>
  <c r="W21" i="9"/>
  <c r="V21" i="9"/>
  <c r="U21" i="9"/>
  <c r="T21" i="9"/>
  <c r="W20" i="9"/>
  <c r="V20" i="9"/>
  <c r="U20" i="9"/>
  <c r="T20" i="9"/>
  <c r="W19" i="9"/>
  <c r="V19" i="9"/>
  <c r="U19" i="9"/>
  <c r="T19" i="9"/>
  <c r="W18" i="9"/>
  <c r="V18" i="9"/>
  <c r="U18" i="9"/>
  <c r="T18" i="9"/>
  <c r="W17" i="9"/>
  <c r="V17" i="9"/>
  <c r="U17" i="9"/>
  <c r="T17" i="9"/>
  <c r="W16" i="9"/>
  <c r="V16" i="9"/>
  <c r="U16" i="9"/>
  <c r="T16" i="9"/>
  <c r="W15" i="9"/>
  <c r="V15" i="9"/>
  <c r="U15" i="9"/>
  <c r="T15" i="9"/>
  <c r="W14" i="9"/>
  <c r="V14" i="9"/>
  <c r="U14" i="9"/>
  <c r="T14" i="9"/>
  <c r="W13" i="9"/>
  <c r="V13" i="9"/>
  <c r="U13" i="9"/>
  <c r="T13" i="9"/>
  <c r="W12" i="9"/>
  <c r="V12" i="9"/>
  <c r="U12" i="9"/>
  <c r="T12" i="9"/>
  <c r="W11" i="9"/>
  <c r="V11" i="9"/>
  <c r="U11" i="9"/>
  <c r="T11" i="9"/>
  <c r="W10" i="9"/>
  <c r="V10" i="9"/>
  <c r="U10" i="9"/>
  <c r="T10" i="9"/>
  <c r="W9" i="9"/>
  <c r="V9" i="9"/>
  <c r="U9" i="9"/>
  <c r="T9" i="9"/>
  <c r="W8" i="9"/>
  <c r="V8" i="9"/>
  <c r="U8" i="9"/>
  <c r="T8" i="9"/>
  <c r="W7" i="9"/>
  <c r="V7" i="9"/>
  <c r="U7" i="9"/>
  <c r="T7" i="9"/>
  <c r="W6" i="9"/>
  <c r="V6" i="9"/>
  <c r="U6" i="9"/>
  <c r="T6" i="9"/>
  <c r="B6" i="9"/>
  <c r="B5" i="9"/>
  <c r="M14" i="9" l="1"/>
  <c r="K14" i="9"/>
  <c r="K13" i="9"/>
  <c r="J14" i="9"/>
  <c r="M13" i="9"/>
  <c r="J13" i="9"/>
  <c r="M12" i="9"/>
  <c r="K12" i="9"/>
  <c r="J12" i="9"/>
  <c r="E20" i="9"/>
  <c r="E19" i="9"/>
  <c r="E18" i="9"/>
  <c r="L8" i="9"/>
  <c r="M8" i="9"/>
  <c r="L7" i="9"/>
  <c r="M7" i="9"/>
  <c r="L6" i="9"/>
  <c r="M6" i="9"/>
  <c r="R9" i="31"/>
  <c r="P9" i="31"/>
  <c r="Q9" i="31" s="1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D3" i="19"/>
  <c r="D2" i="19"/>
  <c r="E11" i="18"/>
  <c r="E10" i="18"/>
  <c r="E9" i="18"/>
  <c r="E8" i="18"/>
  <c r="E7" i="18"/>
  <c r="E6" i="18"/>
  <c r="E5" i="18"/>
  <c r="E4" i="18"/>
  <c r="E3" i="18"/>
  <c r="E2" i="18"/>
  <c r="A1" i="19"/>
  <c r="A1" i="22"/>
  <c r="K20" i="9" l="1"/>
  <c r="L14" i="9"/>
  <c r="N20" i="9" s="1"/>
  <c r="K19" i="9"/>
  <c r="L13" i="9"/>
  <c r="N19" i="9" s="1"/>
  <c r="K18" i="9"/>
  <c r="L12" i="9"/>
  <c r="N18" i="9" s="1"/>
  <c r="O20" i="9"/>
  <c r="H20" i="9"/>
  <c r="M20" i="9"/>
  <c r="O19" i="9"/>
  <c r="H19" i="9"/>
  <c r="M19" i="9"/>
  <c r="O18" i="9"/>
  <c r="H18" i="9"/>
  <c r="M18" i="9"/>
  <c r="F16" i="22"/>
  <c r="F12" i="22"/>
  <c r="F8" i="22"/>
  <c r="F4" i="22"/>
  <c r="F19" i="22"/>
  <c r="F15" i="22"/>
  <c r="F11" i="22"/>
  <c r="F7" i="22"/>
  <c r="F3" i="22"/>
  <c r="F18" i="22"/>
  <c r="F14" i="22"/>
  <c r="F10" i="22"/>
  <c r="F6" i="22"/>
  <c r="F2" i="22"/>
  <c r="F17" i="22"/>
  <c r="F13" i="22"/>
  <c r="F9" i="22"/>
  <c r="F5" i="22"/>
  <c r="E18" i="19"/>
  <c r="E14" i="19"/>
  <c r="E10" i="19"/>
  <c r="E6" i="19"/>
  <c r="E2" i="19"/>
  <c r="E17" i="19"/>
  <c r="E13" i="19"/>
  <c r="E9" i="19"/>
  <c r="E5" i="19"/>
  <c r="E20" i="19"/>
  <c r="E16" i="19"/>
  <c r="E12" i="19"/>
  <c r="E8" i="19"/>
  <c r="E4" i="19"/>
  <c r="E19" i="19"/>
  <c r="E15" i="19"/>
  <c r="E11" i="19"/>
  <c r="E7" i="19"/>
  <c r="E3" i="19"/>
  <c r="J19" i="22"/>
  <c r="J18" i="22"/>
  <c r="J17" i="22"/>
  <c r="J16" i="22"/>
  <c r="J15" i="22"/>
  <c r="J14" i="22"/>
  <c r="J13" i="22"/>
  <c r="J12" i="22"/>
  <c r="J11" i="22"/>
  <c r="J10" i="22"/>
  <c r="J8" i="22"/>
  <c r="J5" i="22"/>
  <c r="J4" i="22"/>
  <c r="J3" i="22"/>
  <c r="J2" i="22"/>
  <c r="O7" i="22"/>
  <c r="O6" i="22"/>
  <c r="O5" i="22"/>
  <c r="H20" i="19"/>
  <c r="H19" i="19"/>
  <c r="H18" i="19"/>
  <c r="H17" i="19"/>
  <c r="H16" i="19"/>
  <c r="H15" i="19"/>
  <c r="H14" i="19"/>
  <c r="H13" i="19"/>
  <c r="H12" i="19"/>
  <c r="H11" i="19"/>
  <c r="H9" i="19"/>
  <c r="H6" i="19"/>
  <c r="H5" i="19"/>
  <c r="H4" i="19"/>
  <c r="H3" i="19"/>
  <c r="H2" i="19"/>
  <c r="K5" i="19"/>
  <c r="K4" i="19"/>
  <c r="K3" i="19"/>
  <c r="M21" i="9" l="1"/>
  <c r="O21" i="9"/>
  <c r="L26" i="9" s="1"/>
  <c r="N26" i="9" s="1"/>
  <c r="N21" i="9"/>
  <c r="L30" i="9" s="1"/>
  <c r="H21" i="9"/>
  <c r="J21" i="9" s="1"/>
  <c r="K19" i="22"/>
  <c r="K18" i="22"/>
  <c r="K17" i="22"/>
  <c r="K16" i="22"/>
  <c r="K15" i="22"/>
  <c r="K14" i="22"/>
  <c r="K12" i="22"/>
  <c r="K13" i="22"/>
  <c r="K11" i="22"/>
  <c r="K5" i="22"/>
  <c r="K3" i="22"/>
  <c r="K4" i="22"/>
  <c r="K2" i="22"/>
  <c r="G11" i="18"/>
  <c r="G10" i="18"/>
  <c r="G9" i="18"/>
  <c r="G8" i="18"/>
  <c r="G7" i="18"/>
  <c r="G6" i="18"/>
  <c r="G5" i="18"/>
  <c r="G4" i="18"/>
  <c r="G3" i="18"/>
  <c r="G2" i="18"/>
  <c r="F11" i="18"/>
  <c r="F10" i="18"/>
  <c r="F9" i="18"/>
  <c r="F8" i="18"/>
  <c r="F7" i="18"/>
  <c r="F6" i="18"/>
  <c r="F5" i="18"/>
  <c r="F4" i="18"/>
  <c r="F3" i="18"/>
  <c r="F2" i="18"/>
  <c r="L21" i="9" l="1"/>
  <c r="G21" i="9"/>
  <c r="I21" i="9"/>
  <c r="K28" i="16"/>
  <c r="L19" i="22" l="1"/>
  <c r="L18" i="22"/>
  <c r="L17" i="22"/>
  <c r="L16" i="22"/>
  <c r="L15" i="22"/>
  <c r="L14" i="22"/>
  <c r="L13" i="22"/>
  <c r="L12" i="22"/>
  <c r="L11" i="22"/>
  <c r="L10" i="22"/>
  <c r="L9" i="22" l="1"/>
  <c r="L8" i="22"/>
  <c r="L7" i="22" l="1"/>
  <c r="L6" i="22" l="1"/>
  <c r="L5" i="22"/>
  <c r="L4" i="22"/>
  <c r="L3" i="22"/>
  <c r="L2" i="22"/>
  <c r="M5" i="3" l="1"/>
  <c r="L5" i="3"/>
  <c r="C10" i="29"/>
  <c r="C2" i="29"/>
  <c r="F23" i="29"/>
  <c r="G19" i="29"/>
  <c r="B20" i="29"/>
  <c r="G23" i="29" l="1"/>
  <c r="H19" i="29"/>
  <c r="C6" i="29"/>
  <c r="D6" i="29"/>
  <c r="D10" i="29"/>
  <c r="AG11" i="29" s="1"/>
  <c r="AG12" i="29" s="1"/>
  <c r="D2" i="29"/>
  <c r="M3" i="29" s="1"/>
  <c r="M4" i="29" s="1"/>
  <c r="AH10" i="29"/>
  <c r="B10" i="29"/>
  <c r="V6" i="29"/>
  <c r="B6" i="29"/>
  <c r="R2" i="29"/>
  <c r="B2" i="29"/>
  <c r="H23" i="29" l="1"/>
  <c r="I19" i="29"/>
  <c r="U7" i="29"/>
  <c r="U8" i="29" s="1"/>
  <c r="V7" i="29"/>
  <c r="V8" i="29" s="1"/>
  <c r="H7" i="29"/>
  <c r="H8" i="29" s="1"/>
  <c r="N7" i="29"/>
  <c r="N8" i="29" s="1"/>
  <c r="M7" i="29"/>
  <c r="M8" i="29" s="1"/>
  <c r="I7" i="29"/>
  <c r="I8" i="29" s="1"/>
  <c r="O7" i="29"/>
  <c r="O8" i="29" s="1"/>
  <c r="T7" i="29"/>
  <c r="T8" i="29" s="1"/>
  <c r="K7" i="29"/>
  <c r="K8" i="29" s="1"/>
  <c r="P7" i="29"/>
  <c r="P8" i="29" s="1"/>
  <c r="G7" i="29"/>
  <c r="G8" i="29" s="1"/>
  <c r="L7" i="29"/>
  <c r="L8" i="29" s="1"/>
  <c r="Q7" i="29"/>
  <c r="Q8" i="29" s="1"/>
  <c r="S7" i="29"/>
  <c r="S8" i="29" s="1"/>
  <c r="O11" i="29"/>
  <c r="O12" i="29" s="1"/>
  <c r="AC11" i="29"/>
  <c r="AC12" i="29" s="1"/>
  <c r="X11" i="29"/>
  <c r="X12" i="29" s="1"/>
  <c r="H11" i="29"/>
  <c r="H12" i="29" s="1"/>
  <c r="AE11" i="29"/>
  <c r="AE12" i="29" s="1"/>
  <c r="P11" i="29"/>
  <c r="P12" i="29" s="1"/>
  <c r="J7" i="29"/>
  <c r="J8" i="29" s="1"/>
  <c r="F7" i="29"/>
  <c r="F8" i="29" s="1"/>
  <c r="R7" i="29"/>
  <c r="R8" i="29" s="1"/>
  <c r="G11" i="29"/>
  <c r="G12" i="29" s="1"/>
  <c r="W11" i="29"/>
  <c r="W12" i="29" s="1"/>
  <c r="AF11" i="29"/>
  <c r="AF12" i="29" s="1"/>
  <c r="H3" i="29"/>
  <c r="H4" i="29" s="1"/>
  <c r="L3" i="29"/>
  <c r="L4" i="29" s="1"/>
  <c r="L11" i="29"/>
  <c r="L12" i="29" s="1"/>
  <c r="T11" i="29"/>
  <c r="T12" i="29" s="1"/>
  <c r="AB11" i="29"/>
  <c r="AB12" i="29" s="1"/>
  <c r="AH11" i="29"/>
  <c r="AH12" i="29" s="1"/>
  <c r="K11" i="29"/>
  <c r="K12" i="29" s="1"/>
  <c r="F11" i="29"/>
  <c r="F12" i="29" s="1"/>
  <c r="AA11" i="29"/>
  <c r="AA12" i="29" s="1"/>
  <c r="P3" i="29"/>
  <c r="P4" i="29" s="1"/>
  <c r="I11" i="29"/>
  <c r="I12" i="29" s="1"/>
  <c r="M11" i="29"/>
  <c r="M12" i="29" s="1"/>
  <c r="Q11" i="29"/>
  <c r="Q12" i="29" s="1"/>
  <c r="U11" i="29"/>
  <c r="U12" i="29" s="1"/>
  <c r="Y11" i="29"/>
  <c r="Y12" i="29" s="1"/>
  <c r="Z11" i="29"/>
  <c r="Z12" i="29" s="1"/>
  <c r="J11" i="29"/>
  <c r="J12" i="29" s="1"/>
  <c r="N11" i="29"/>
  <c r="N12" i="29" s="1"/>
  <c r="R11" i="29"/>
  <c r="R12" i="29" s="1"/>
  <c r="V11" i="29"/>
  <c r="V12" i="29" s="1"/>
  <c r="S11" i="29"/>
  <c r="S12" i="29" s="1"/>
  <c r="AD11" i="29"/>
  <c r="AD12" i="29" s="1"/>
  <c r="I3" i="29"/>
  <c r="I4" i="29" s="1"/>
  <c r="F3" i="29"/>
  <c r="F4" i="29" s="1"/>
  <c r="J3" i="29"/>
  <c r="J4" i="29" s="1"/>
  <c r="N3" i="29"/>
  <c r="N4" i="29" s="1"/>
  <c r="R3" i="29"/>
  <c r="R4" i="29" s="1"/>
  <c r="G3" i="29"/>
  <c r="G4" i="29" s="1"/>
  <c r="K3" i="29"/>
  <c r="K4" i="29" s="1"/>
  <c r="O3" i="29"/>
  <c r="O4" i="29" s="1"/>
  <c r="Q3" i="29"/>
  <c r="Q4" i="29" s="1"/>
  <c r="J19" i="29" l="1"/>
  <c r="I23" i="29"/>
  <c r="H1" i="27"/>
  <c r="J23" i="29" l="1"/>
  <c r="K19" i="29"/>
  <c r="I2" i="27"/>
  <c r="J2" i="27" s="1"/>
  <c r="G14" i="27"/>
  <c r="E14" i="27"/>
  <c r="B14" i="27"/>
  <c r="C14" i="27" s="1"/>
  <c r="G13" i="27"/>
  <c r="E13" i="27"/>
  <c r="B13" i="27"/>
  <c r="C13" i="27" s="1"/>
  <c r="G12" i="27"/>
  <c r="E12" i="27"/>
  <c r="B12" i="27"/>
  <c r="C12" i="27" s="1"/>
  <c r="G11" i="27"/>
  <c r="E11" i="27"/>
  <c r="B11" i="27"/>
  <c r="C11" i="27" s="1"/>
  <c r="G10" i="27"/>
  <c r="E10" i="27"/>
  <c r="B10" i="27"/>
  <c r="C10" i="27" s="1"/>
  <c r="G9" i="27"/>
  <c r="E9" i="27"/>
  <c r="B9" i="27"/>
  <c r="C9" i="27" s="1"/>
  <c r="G8" i="27"/>
  <c r="E8" i="27"/>
  <c r="B8" i="27"/>
  <c r="C8" i="27" s="1"/>
  <c r="G7" i="27"/>
  <c r="E7" i="27"/>
  <c r="B7" i="27"/>
  <c r="C7" i="27" s="1"/>
  <c r="G6" i="27"/>
  <c r="E6" i="27"/>
  <c r="B6" i="27"/>
  <c r="C6" i="27" s="1"/>
  <c r="G5" i="27"/>
  <c r="E5" i="27"/>
  <c r="B5" i="27"/>
  <c r="C5" i="27" s="1"/>
  <c r="G4" i="27"/>
  <c r="E4" i="27"/>
  <c r="B4" i="27"/>
  <c r="C4" i="27" s="1"/>
  <c r="G3" i="27"/>
  <c r="E3" i="27"/>
  <c r="B3" i="27"/>
  <c r="C3" i="27" s="1"/>
  <c r="B1" i="27"/>
  <c r="C1" i="27" s="1"/>
  <c r="L19" i="29" l="1"/>
  <c r="K23" i="29"/>
  <c r="J1" i="27"/>
  <c r="K2" i="27"/>
  <c r="K12" i="27" s="1"/>
  <c r="I1" i="27"/>
  <c r="G15" i="27"/>
  <c r="P4" i="27"/>
  <c r="J14" i="27"/>
  <c r="J13" i="27"/>
  <c r="J12" i="27"/>
  <c r="J11" i="27"/>
  <c r="J10" i="27"/>
  <c r="J9" i="27"/>
  <c r="J8" i="27"/>
  <c r="J7" i="27"/>
  <c r="J6" i="27"/>
  <c r="J5" i="27"/>
  <c r="J4" i="27"/>
  <c r="J3" i="27"/>
  <c r="I14" i="27"/>
  <c r="I13" i="27"/>
  <c r="I12" i="27"/>
  <c r="I11" i="27"/>
  <c r="I10" i="27"/>
  <c r="I9" i="27"/>
  <c r="I8" i="27"/>
  <c r="I7" i="27"/>
  <c r="I6" i="27"/>
  <c r="I5" i="27"/>
  <c r="I4" i="27"/>
  <c r="I3" i="27"/>
  <c r="H14" i="27"/>
  <c r="H13" i="27"/>
  <c r="H12" i="27"/>
  <c r="H11" i="27"/>
  <c r="H10" i="27"/>
  <c r="H9" i="27"/>
  <c r="H8" i="27"/>
  <c r="H7" i="27"/>
  <c r="H6" i="27"/>
  <c r="H5" i="27"/>
  <c r="H4" i="27"/>
  <c r="H3" i="27"/>
  <c r="L23" i="29" l="1"/>
  <c r="M19" i="29"/>
  <c r="K13" i="27"/>
  <c r="K6" i="27"/>
  <c r="K5" i="27"/>
  <c r="K10" i="27"/>
  <c r="K8" i="27"/>
  <c r="K14" i="27"/>
  <c r="K4" i="27"/>
  <c r="K9" i="27"/>
  <c r="K3" i="27"/>
  <c r="K7" i="27"/>
  <c r="K11" i="27"/>
  <c r="K1" i="27"/>
  <c r="L2" i="27"/>
  <c r="I15" i="27"/>
  <c r="J15" i="27"/>
  <c r="H15" i="27"/>
  <c r="N19" i="29" l="1"/>
  <c r="M23" i="29"/>
  <c r="K15" i="27"/>
  <c r="M2" i="27"/>
  <c r="L1" i="27"/>
  <c r="L12" i="27"/>
  <c r="L8" i="27"/>
  <c r="L4" i="27"/>
  <c r="L13" i="27"/>
  <c r="L9" i="27"/>
  <c r="L5" i="27"/>
  <c r="L10" i="27"/>
  <c r="L7" i="27"/>
  <c r="L6" i="27"/>
  <c r="L11" i="27"/>
  <c r="L3" i="27"/>
  <c r="L14" i="27"/>
  <c r="N23" i="29" l="1"/>
  <c r="O19" i="29"/>
  <c r="L15" i="27"/>
  <c r="N2" i="27"/>
  <c r="M1" i="27"/>
  <c r="M12" i="27"/>
  <c r="M8" i="27"/>
  <c r="M4" i="27"/>
  <c r="M13" i="27"/>
  <c r="M9" i="27"/>
  <c r="M5" i="27"/>
  <c r="M14" i="27"/>
  <c r="M6" i="27"/>
  <c r="M10" i="27"/>
  <c r="M11" i="27"/>
  <c r="M3" i="27"/>
  <c r="M7" i="27"/>
  <c r="B1" i="20"/>
  <c r="P19" i="29" l="1"/>
  <c r="O23" i="29"/>
  <c r="M15" i="27"/>
  <c r="N1" i="27"/>
  <c r="O2" i="27"/>
  <c r="N12" i="27"/>
  <c r="N8" i="27"/>
  <c r="N4" i="27"/>
  <c r="N13" i="27"/>
  <c r="N9" i="27"/>
  <c r="N5" i="27"/>
  <c r="N10" i="27"/>
  <c r="N7" i="27"/>
  <c r="N6" i="27"/>
  <c r="N11" i="27"/>
  <c r="N3" i="27"/>
  <c r="N14" i="27"/>
  <c r="D3" i="20"/>
  <c r="D4" i="20"/>
  <c r="P23" i="29" l="1"/>
  <c r="Q19" i="29"/>
  <c r="N15" i="27"/>
  <c r="P2" i="27"/>
  <c r="O1" i="27"/>
  <c r="O12" i="27"/>
  <c r="O8" i="27"/>
  <c r="O4" i="27"/>
  <c r="O13" i="27"/>
  <c r="O9" i="27"/>
  <c r="O5" i="27"/>
  <c r="O14" i="27"/>
  <c r="O6" i="27"/>
  <c r="O10" i="27"/>
  <c r="O11" i="27"/>
  <c r="O3" i="27"/>
  <c r="O7" i="27"/>
  <c r="D8" i="24"/>
  <c r="E8" i="24"/>
  <c r="F8" i="24"/>
  <c r="R19" i="29" l="1"/>
  <c r="Q23" i="29"/>
  <c r="O15" i="27"/>
  <c r="Q2" i="27"/>
  <c r="P1" i="27"/>
  <c r="P13" i="27"/>
  <c r="P9" i="27"/>
  <c r="P5" i="27"/>
  <c r="P14" i="27"/>
  <c r="P10" i="27"/>
  <c r="P6" i="27"/>
  <c r="P11" i="27"/>
  <c r="P8" i="27"/>
  <c r="P12" i="27"/>
  <c r="P3" i="27"/>
  <c r="P7" i="27"/>
  <c r="C3" i="25"/>
  <c r="B11" i="25"/>
  <c r="C11" i="25"/>
  <c r="D11" i="25"/>
  <c r="E11" i="25"/>
  <c r="F11" i="25"/>
  <c r="G11" i="25"/>
  <c r="H11" i="25"/>
  <c r="I11" i="25"/>
  <c r="J11" i="25"/>
  <c r="K11" i="25"/>
  <c r="L11" i="25"/>
  <c r="M11" i="25"/>
  <c r="N11" i="25"/>
  <c r="O11" i="25"/>
  <c r="P11" i="25"/>
  <c r="Q11" i="25"/>
  <c r="R11" i="25"/>
  <c r="S11" i="25"/>
  <c r="T11" i="25"/>
  <c r="U11" i="25"/>
  <c r="V11" i="25"/>
  <c r="W11" i="25"/>
  <c r="X11" i="25"/>
  <c r="Y11" i="25"/>
  <c r="Z11" i="25"/>
  <c r="AA11" i="25"/>
  <c r="AB11" i="25"/>
  <c r="AC11" i="25"/>
  <c r="AD11" i="25"/>
  <c r="AE11" i="25"/>
  <c r="AF11" i="25"/>
  <c r="AG11" i="25"/>
  <c r="AH11" i="25"/>
  <c r="AI11" i="25"/>
  <c r="AJ11" i="25"/>
  <c r="AK11" i="25"/>
  <c r="AL11" i="25"/>
  <c r="AM11" i="25"/>
  <c r="AN11" i="25"/>
  <c r="AO11" i="25"/>
  <c r="AP11" i="25"/>
  <c r="AQ11" i="25"/>
  <c r="AR11" i="25"/>
  <c r="AS11" i="25"/>
  <c r="AT11" i="25"/>
  <c r="AU11" i="25"/>
  <c r="AV11" i="25"/>
  <c r="AW11" i="25"/>
  <c r="R23" i="29" l="1"/>
  <c r="S19" i="29"/>
  <c r="P15" i="27"/>
  <c r="R2" i="27"/>
  <c r="Q1" i="27"/>
  <c r="Q13" i="27"/>
  <c r="Q9" i="27"/>
  <c r="Q5" i="27"/>
  <c r="Q14" i="27"/>
  <c r="Q10" i="27"/>
  <c r="Q6" i="27"/>
  <c r="Q7" i="27"/>
  <c r="Q11" i="27"/>
  <c r="Q12" i="27"/>
  <c r="Q4" i="27"/>
  <c r="Q3" i="27"/>
  <c r="Q8" i="27"/>
  <c r="H8" i="24"/>
  <c r="I8" i="24"/>
  <c r="G8" i="24"/>
  <c r="C4" i="25"/>
  <c r="T19" i="29" l="1"/>
  <c r="S23" i="29"/>
  <c r="Q15" i="27"/>
  <c r="R1" i="27"/>
  <c r="S2" i="27"/>
  <c r="R13" i="27"/>
  <c r="R9" i="27"/>
  <c r="R5" i="27"/>
  <c r="R14" i="27"/>
  <c r="R10" i="27"/>
  <c r="R6" i="27"/>
  <c r="R11" i="27"/>
  <c r="R3" i="27"/>
  <c r="R8" i="27"/>
  <c r="R12" i="27"/>
  <c r="R4" i="27"/>
  <c r="R7" i="27"/>
  <c r="J8" i="24"/>
  <c r="B2" i="16"/>
  <c r="T23" i="29" l="1"/>
  <c r="U19" i="29"/>
  <c r="R15" i="27"/>
  <c r="S1" i="27"/>
  <c r="T2" i="27"/>
  <c r="S13" i="27"/>
  <c r="S9" i="27"/>
  <c r="S5" i="27"/>
  <c r="S14" i="27"/>
  <c r="S10" i="27"/>
  <c r="S6" i="27"/>
  <c r="S7" i="27"/>
  <c r="S11" i="27"/>
  <c r="S12" i="27"/>
  <c r="S4" i="27"/>
  <c r="S3" i="27"/>
  <c r="S8" i="27"/>
  <c r="Z4" i="16"/>
  <c r="Z5" i="16"/>
  <c r="Z6" i="16"/>
  <c r="Z7" i="16"/>
  <c r="Z8" i="16"/>
  <c r="Z9" i="16"/>
  <c r="Z10" i="16"/>
  <c r="Z11" i="16"/>
  <c r="Z12" i="16"/>
  <c r="Z13" i="16"/>
  <c r="Z3" i="16"/>
  <c r="Y4" i="16"/>
  <c r="Y5" i="16"/>
  <c r="Y6" i="16"/>
  <c r="Y7" i="16"/>
  <c r="Y8" i="16"/>
  <c r="Y9" i="16"/>
  <c r="Y10" i="16"/>
  <c r="Y11" i="16"/>
  <c r="Y12" i="16"/>
  <c r="Y13" i="16"/>
  <c r="Y3" i="16"/>
  <c r="X4" i="16"/>
  <c r="X5" i="16"/>
  <c r="X6" i="16"/>
  <c r="X7" i="16"/>
  <c r="X8" i="16"/>
  <c r="X9" i="16"/>
  <c r="X10" i="16"/>
  <c r="X11" i="16"/>
  <c r="X12" i="16"/>
  <c r="X13" i="16"/>
  <c r="X3" i="16"/>
  <c r="B3" i="16"/>
  <c r="C2" i="31" s="1"/>
  <c r="B4" i="16"/>
  <c r="C7" i="31" s="1"/>
  <c r="B5" i="16"/>
  <c r="C3" i="31" s="1"/>
  <c r="B6" i="16"/>
  <c r="C8" i="31" s="1"/>
  <c r="B7" i="16"/>
  <c r="C4" i="31" s="1"/>
  <c r="B8" i="16"/>
  <c r="C5" i="31" s="1"/>
  <c r="B9" i="16"/>
  <c r="C6" i="31" s="1"/>
  <c r="B10" i="16"/>
  <c r="B11" i="16"/>
  <c r="B12" i="16"/>
  <c r="B13" i="16"/>
  <c r="B14" i="16"/>
  <c r="B15" i="16"/>
  <c r="B16" i="16"/>
  <c r="B17" i="16"/>
  <c r="B18" i="16"/>
  <c r="C9" i="32" s="1"/>
  <c r="L9" i="32" s="1"/>
  <c r="B19" i="16"/>
  <c r="C10" i="32" s="1"/>
  <c r="L10" i="32" s="1"/>
  <c r="B20" i="16"/>
  <c r="B21" i="16"/>
  <c r="C12" i="32" s="1"/>
  <c r="L12" i="32" s="1"/>
  <c r="B22" i="16"/>
  <c r="B23" i="16"/>
  <c r="B24" i="16"/>
  <c r="B25" i="16"/>
  <c r="B26" i="16"/>
  <c r="B27" i="16"/>
  <c r="C3" i="16"/>
  <c r="D2" i="31" s="1"/>
  <c r="C4" i="16"/>
  <c r="D7" i="31" s="1"/>
  <c r="C5" i="16"/>
  <c r="D3" i="31" s="1"/>
  <c r="C6" i="16"/>
  <c r="D8" i="31" s="1"/>
  <c r="C7" i="16"/>
  <c r="D4" i="31" s="1"/>
  <c r="C8" i="16"/>
  <c r="D5" i="31" s="1"/>
  <c r="C9" i="16"/>
  <c r="D6" i="31" s="1"/>
  <c r="C10" i="16"/>
  <c r="D2" i="32" s="1"/>
  <c r="C11" i="16"/>
  <c r="D3" i="32" s="1"/>
  <c r="C12" i="16"/>
  <c r="D4" i="32" s="1"/>
  <c r="C13" i="16"/>
  <c r="D5" i="32" s="1"/>
  <c r="C14" i="16"/>
  <c r="D6" i="32" s="1"/>
  <c r="C15" i="16"/>
  <c r="C16" i="16"/>
  <c r="D7" i="32" s="1"/>
  <c r="G25" i="9" s="1"/>
  <c r="C17" i="16"/>
  <c r="D8" i="32" s="1"/>
  <c r="C18" i="16"/>
  <c r="D9" i="32" s="1"/>
  <c r="C19" i="16"/>
  <c r="D10" i="32" s="1"/>
  <c r="C20" i="16"/>
  <c r="D11" i="32" s="1"/>
  <c r="C21" i="16"/>
  <c r="D12" i="32" s="1"/>
  <c r="C22" i="16"/>
  <c r="C23" i="16"/>
  <c r="C24" i="16"/>
  <c r="C25" i="16"/>
  <c r="C26" i="16"/>
  <c r="C27" i="16"/>
  <c r="C2" i="16"/>
  <c r="D3" i="16"/>
  <c r="D4" i="16"/>
  <c r="D5" i="16"/>
  <c r="D6" i="16"/>
  <c r="D7" i="16"/>
  <c r="D8" i="16"/>
  <c r="D9" i="16"/>
  <c r="D10" i="16"/>
  <c r="E2" i="32" s="1"/>
  <c r="D11" i="16"/>
  <c r="E3" i="32" s="1"/>
  <c r="D12" i="16"/>
  <c r="E4" i="32" s="1"/>
  <c r="D13" i="16"/>
  <c r="E5" i="32" s="1"/>
  <c r="D14" i="16"/>
  <c r="E6" i="32" s="1"/>
  <c r="D15" i="16"/>
  <c r="D16" i="16"/>
  <c r="E7" i="32" s="1"/>
  <c r="D17" i="16"/>
  <c r="E8" i="32" s="1"/>
  <c r="D18" i="16"/>
  <c r="E9" i="32" s="1"/>
  <c r="D19" i="16"/>
  <c r="E10" i="32" s="1"/>
  <c r="D20" i="16"/>
  <c r="E11" i="32" s="1"/>
  <c r="D21" i="16"/>
  <c r="E12" i="32" s="1"/>
  <c r="D22" i="16"/>
  <c r="D23" i="16"/>
  <c r="D24" i="16"/>
  <c r="D25" i="16"/>
  <c r="D26" i="16"/>
  <c r="D27" i="16"/>
  <c r="D2" i="16"/>
  <c r="J3" i="16"/>
  <c r="L2" i="31" s="1"/>
  <c r="J4" i="16"/>
  <c r="L7" i="31" s="1"/>
  <c r="J5" i="16"/>
  <c r="L3" i="31" s="1"/>
  <c r="J6" i="16"/>
  <c r="L8" i="31" s="1"/>
  <c r="J7" i="16"/>
  <c r="L4" i="31" s="1"/>
  <c r="J8" i="16"/>
  <c r="L5" i="31" s="1"/>
  <c r="J9" i="16"/>
  <c r="L6" i="31" s="1"/>
  <c r="J10" i="16"/>
  <c r="K2" i="32" s="1"/>
  <c r="J11" i="16"/>
  <c r="K3" i="32" s="1"/>
  <c r="J12" i="16"/>
  <c r="K4" i="32" s="1"/>
  <c r="J13" i="16"/>
  <c r="K5" i="32" s="1"/>
  <c r="J14" i="16"/>
  <c r="K6" i="32" s="1"/>
  <c r="J15" i="16"/>
  <c r="J16" i="16"/>
  <c r="K7" i="32" s="1"/>
  <c r="J17" i="16"/>
  <c r="K8" i="32" s="1"/>
  <c r="J18" i="16"/>
  <c r="K9" i="32" s="1"/>
  <c r="J19" i="16"/>
  <c r="K10" i="32" s="1"/>
  <c r="J20" i="16"/>
  <c r="K11" i="32" s="1"/>
  <c r="J21" i="16"/>
  <c r="K12" i="32" s="1"/>
  <c r="J22" i="16"/>
  <c r="J23" i="16"/>
  <c r="J24" i="16"/>
  <c r="J25" i="16"/>
  <c r="J26" i="16"/>
  <c r="J27" i="16"/>
  <c r="J2" i="16"/>
  <c r="I3" i="16"/>
  <c r="K2" i="31" s="1"/>
  <c r="I4" i="16"/>
  <c r="K7" i="31" s="1"/>
  <c r="I5" i="16"/>
  <c r="K3" i="31" s="1"/>
  <c r="I6" i="16"/>
  <c r="K8" i="31" s="1"/>
  <c r="I7" i="16"/>
  <c r="K4" i="31" s="1"/>
  <c r="I8" i="16"/>
  <c r="K5" i="31" s="1"/>
  <c r="I9" i="16"/>
  <c r="K6" i="31" s="1"/>
  <c r="I10" i="16"/>
  <c r="J2" i="32" s="1"/>
  <c r="I11" i="16"/>
  <c r="J3" i="32" s="1"/>
  <c r="I12" i="16"/>
  <c r="J4" i="32" s="1"/>
  <c r="I13" i="16"/>
  <c r="J5" i="32" s="1"/>
  <c r="I14" i="16"/>
  <c r="J6" i="32" s="1"/>
  <c r="I15" i="16"/>
  <c r="I16" i="16"/>
  <c r="J7" i="32" s="1"/>
  <c r="I17" i="16"/>
  <c r="J8" i="32" s="1"/>
  <c r="I18" i="16"/>
  <c r="J9" i="32" s="1"/>
  <c r="I19" i="16"/>
  <c r="J10" i="32" s="1"/>
  <c r="I20" i="16"/>
  <c r="J11" i="32" s="1"/>
  <c r="I21" i="16"/>
  <c r="J12" i="32" s="1"/>
  <c r="I22" i="16"/>
  <c r="I23" i="16"/>
  <c r="I24" i="16"/>
  <c r="I25" i="16"/>
  <c r="I26" i="16"/>
  <c r="I27" i="16"/>
  <c r="I2" i="16"/>
  <c r="H3" i="16"/>
  <c r="J2" i="31" s="1"/>
  <c r="H4" i="16"/>
  <c r="J7" i="31" s="1"/>
  <c r="H5" i="16"/>
  <c r="J3" i="31" s="1"/>
  <c r="H6" i="16"/>
  <c r="J8" i="31" s="1"/>
  <c r="H7" i="16"/>
  <c r="J4" i="31" s="1"/>
  <c r="H8" i="16"/>
  <c r="J5" i="31" s="1"/>
  <c r="H9" i="16"/>
  <c r="J6" i="31" s="1"/>
  <c r="H10" i="16"/>
  <c r="I2" i="32" s="1"/>
  <c r="H11" i="16"/>
  <c r="I3" i="32" s="1"/>
  <c r="H12" i="16"/>
  <c r="I4" i="32" s="1"/>
  <c r="H13" i="16"/>
  <c r="I5" i="32" s="1"/>
  <c r="H14" i="16"/>
  <c r="I6" i="32" s="1"/>
  <c r="H15" i="16"/>
  <c r="H16" i="16"/>
  <c r="I7" i="32" s="1"/>
  <c r="H17" i="16"/>
  <c r="I8" i="32" s="1"/>
  <c r="H18" i="16"/>
  <c r="I9" i="32" s="1"/>
  <c r="H19" i="16"/>
  <c r="I10" i="32" s="1"/>
  <c r="H20" i="16"/>
  <c r="I11" i="32" s="1"/>
  <c r="H21" i="16"/>
  <c r="I12" i="32" s="1"/>
  <c r="H22" i="16"/>
  <c r="H23" i="16"/>
  <c r="H24" i="16"/>
  <c r="H25" i="16"/>
  <c r="H26" i="16"/>
  <c r="H27" i="16"/>
  <c r="H2" i="16"/>
  <c r="G3" i="16"/>
  <c r="I2" i="31" s="1"/>
  <c r="G4" i="16"/>
  <c r="I7" i="31" s="1"/>
  <c r="G5" i="16"/>
  <c r="I3" i="31" s="1"/>
  <c r="G6" i="16"/>
  <c r="I8" i="31" s="1"/>
  <c r="G7" i="16"/>
  <c r="I4" i="31" s="1"/>
  <c r="G8" i="16"/>
  <c r="I5" i="31" s="1"/>
  <c r="G9" i="16"/>
  <c r="I6" i="31" s="1"/>
  <c r="G10" i="16"/>
  <c r="H2" i="32" s="1"/>
  <c r="G11" i="16"/>
  <c r="H3" i="32" s="1"/>
  <c r="G12" i="16"/>
  <c r="H4" i="32" s="1"/>
  <c r="G13" i="16"/>
  <c r="H5" i="32" s="1"/>
  <c r="G14" i="16"/>
  <c r="H6" i="32" s="1"/>
  <c r="G15" i="16"/>
  <c r="G16" i="16"/>
  <c r="H7" i="32" s="1"/>
  <c r="G17" i="16"/>
  <c r="H8" i="32" s="1"/>
  <c r="G18" i="16"/>
  <c r="H9" i="32" s="1"/>
  <c r="G19" i="16"/>
  <c r="H10" i="32" s="1"/>
  <c r="G20" i="16"/>
  <c r="H11" i="32" s="1"/>
  <c r="G21" i="16"/>
  <c r="H12" i="32" s="1"/>
  <c r="G22" i="16"/>
  <c r="G23" i="16"/>
  <c r="G24" i="16"/>
  <c r="G25" i="16"/>
  <c r="G26" i="16"/>
  <c r="G27" i="16"/>
  <c r="G2" i="16"/>
  <c r="F3" i="16"/>
  <c r="H2" i="31" s="1"/>
  <c r="F4" i="16"/>
  <c r="H7" i="31" s="1"/>
  <c r="F5" i="16"/>
  <c r="H3" i="31" s="1"/>
  <c r="F6" i="16"/>
  <c r="H8" i="31" s="1"/>
  <c r="F7" i="16"/>
  <c r="H4" i="31" s="1"/>
  <c r="F8" i="16"/>
  <c r="H5" i="31" s="1"/>
  <c r="F9" i="16"/>
  <c r="H6" i="31" s="1"/>
  <c r="F10" i="16"/>
  <c r="G2" i="32" s="1"/>
  <c r="F11" i="16"/>
  <c r="G3" i="32" s="1"/>
  <c r="F12" i="16"/>
  <c r="G4" i="32" s="1"/>
  <c r="F13" i="16"/>
  <c r="G5" i="32" s="1"/>
  <c r="F14" i="16"/>
  <c r="G6" i="32" s="1"/>
  <c r="F15" i="16"/>
  <c r="F16" i="16"/>
  <c r="G7" i="32" s="1"/>
  <c r="F17" i="16"/>
  <c r="G8" i="32" s="1"/>
  <c r="F18" i="16"/>
  <c r="G9" i="32" s="1"/>
  <c r="F19" i="16"/>
  <c r="G10" i="32" s="1"/>
  <c r="F20" i="16"/>
  <c r="G11" i="32" s="1"/>
  <c r="F21" i="16"/>
  <c r="G12" i="32" s="1"/>
  <c r="F22" i="16"/>
  <c r="F23" i="16"/>
  <c r="F24" i="16"/>
  <c r="F25" i="16"/>
  <c r="F26" i="16"/>
  <c r="F27" i="16"/>
  <c r="F2" i="16"/>
  <c r="E3" i="16"/>
  <c r="G2" i="31" s="1"/>
  <c r="E4" i="16"/>
  <c r="G7" i="31" s="1"/>
  <c r="E5" i="16"/>
  <c r="G3" i="31" s="1"/>
  <c r="E6" i="16"/>
  <c r="G8" i="31" s="1"/>
  <c r="E7" i="16"/>
  <c r="G4" i="31" s="1"/>
  <c r="E8" i="16"/>
  <c r="G5" i="31" s="1"/>
  <c r="E9" i="16"/>
  <c r="G6" i="31" s="1"/>
  <c r="E10" i="16"/>
  <c r="F2" i="32" s="1"/>
  <c r="E11" i="16"/>
  <c r="F3" i="32" s="1"/>
  <c r="E12" i="16"/>
  <c r="F4" i="32" s="1"/>
  <c r="E13" i="16"/>
  <c r="F5" i="32" s="1"/>
  <c r="E14" i="16"/>
  <c r="F6" i="32" s="1"/>
  <c r="E15" i="16"/>
  <c r="E16" i="16"/>
  <c r="F7" i="32" s="1"/>
  <c r="E17" i="16"/>
  <c r="F8" i="32" s="1"/>
  <c r="E18" i="16"/>
  <c r="F9" i="32" s="1"/>
  <c r="E19" i="16"/>
  <c r="F10" i="32" s="1"/>
  <c r="E20" i="16"/>
  <c r="F11" i="32" s="1"/>
  <c r="E21" i="16"/>
  <c r="F12" i="32" s="1"/>
  <c r="E22" i="16"/>
  <c r="E23" i="16"/>
  <c r="E24" i="16"/>
  <c r="E25" i="16"/>
  <c r="E26" i="16"/>
  <c r="E27" i="16"/>
  <c r="E2" i="16"/>
  <c r="M8" i="31" l="1"/>
  <c r="E8" i="31"/>
  <c r="O8" i="31" s="1"/>
  <c r="P8" i="31" s="1"/>
  <c r="Q8" i="31" s="1"/>
  <c r="M7" i="31"/>
  <c r="E7" i="31"/>
  <c r="O7" i="31" s="1"/>
  <c r="P7" i="31" s="1"/>
  <c r="Q7" i="31" s="1"/>
  <c r="M6" i="31"/>
  <c r="E6" i="31"/>
  <c r="O6" i="31" s="1"/>
  <c r="P6" i="31" s="1"/>
  <c r="Q6" i="31" s="1"/>
  <c r="M5" i="31"/>
  <c r="E5" i="31"/>
  <c r="O5" i="31" s="1"/>
  <c r="P5" i="31" s="1"/>
  <c r="Q5" i="31" s="1"/>
  <c r="M4" i="31"/>
  <c r="E4" i="31"/>
  <c r="O4" i="31" s="1"/>
  <c r="P4" i="31" s="1"/>
  <c r="Q4" i="31" s="1"/>
  <c r="M3" i="31"/>
  <c r="E3" i="31"/>
  <c r="O3" i="31" s="1"/>
  <c r="P3" i="31" s="1"/>
  <c r="Q3" i="31" s="1"/>
  <c r="M2" i="31"/>
  <c r="E2" i="31"/>
  <c r="O2" i="31" s="1"/>
  <c r="P2" i="31" s="1"/>
  <c r="Q2" i="31" s="1"/>
  <c r="C11" i="32"/>
  <c r="L11" i="32" s="1"/>
  <c r="C8" i="32"/>
  <c r="L8" i="32" s="1"/>
  <c r="C7" i="32"/>
  <c r="L7" i="32" s="1"/>
  <c r="C6" i="32"/>
  <c r="L6" i="32" s="1"/>
  <c r="C5" i="32"/>
  <c r="L5" i="32" s="1"/>
  <c r="C4" i="32"/>
  <c r="L4" i="32" s="1"/>
  <c r="C3" i="32"/>
  <c r="L3" i="32" s="1"/>
  <c r="C2" i="32"/>
  <c r="L2" i="32" s="1"/>
  <c r="V19" i="29"/>
  <c r="U23" i="29"/>
  <c r="AA12" i="16"/>
  <c r="AB10" i="16"/>
  <c r="AC12" i="16"/>
  <c r="AF7" i="16"/>
  <c r="AA8" i="16"/>
  <c r="AB13" i="16"/>
  <c r="AC11" i="16"/>
  <c r="AC8" i="16"/>
  <c r="AD13" i="16"/>
  <c r="AD9" i="16"/>
  <c r="AD6" i="16"/>
  <c r="AE11" i="16"/>
  <c r="AE8" i="16"/>
  <c r="AF13" i="16"/>
  <c r="AF9" i="16"/>
  <c r="AF6" i="16"/>
  <c r="AN9" i="16"/>
  <c r="AD7" i="16"/>
  <c r="AE12" i="16"/>
  <c r="AF10" i="16"/>
  <c r="AB9" i="16"/>
  <c r="AB6" i="16"/>
  <c r="AA10" i="16"/>
  <c r="AA7" i="16"/>
  <c r="AB12" i="16"/>
  <c r="AO9" i="16"/>
  <c r="AC10" i="16"/>
  <c r="AC7" i="16"/>
  <c r="AD12" i="16"/>
  <c r="AQ9" i="16"/>
  <c r="AE10" i="16"/>
  <c r="AE7" i="16"/>
  <c r="AF12" i="16"/>
  <c r="AS9" i="16"/>
  <c r="AB7" i="16"/>
  <c r="AP9" i="16"/>
  <c r="AD10" i="16"/>
  <c r="AR9" i="16"/>
  <c r="AA11" i="16"/>
  <c r="AA13" i="16"/>
  <c r="AA9" i="16"/>
  <c r="AA6" i="16"/>
  <c r="AB11" i="16"/>
  <c r="AB8" i="16"/>
  <c r="AC13" i="16"/>
  <c r="AC9" i="16"/>
  <c r="AC6" i="16"/>
  <c r="AD11" i="16"/>
  <c r="AD8" i="16"/>
  <c r="AE13" i="16"/>
  <c r="AE9" i="16"/>
  <c r="AE6" i="16"/>
  <c r="AF11" i="16"/>
  <c r="AF8" i="16"/>
  <c r="AA5" i="16"/>
  <c r="AC5" i="16"/>
  <c r="AE5" i="16"/>
  <c r="AC4" i="16"/>
  <c r="AE4" i="16"/>
  <c r="AA4" i="16"/>
  <c r="AB5" i="16"/>
  <c r="AD5" i="16"/>
  <c r="AF5" i="16"/>
  <c r="AB4" i="16"/>
  <c r="AD4" i="16"/>
  <c r="AF4" i="16"/>
  <c r="AF3" i="16"/>
  <c r="AE3" i="16"/>
  <c r="AD3" i="16"/>
  <c r="AC3" i="16"/>
  <c r="AB3" i="16"/>
  <c r="AA3" i="16"/>
  <c r="T1" i="27"/>
  <c r="U2" i="27"/>
  <c r="T13" i="27"/>
  <c r="T9" i="27"/>
  <c r="T5" i="27"/>
  <c r="T14" i="27"/>
  <c r="T10" i="27"/>
  <c r="T6" i="27"/>
  <c r="T11" i="27"/>
  <c r="T3" i="27"/>
  <c r="T8" i="27"/>
  <c r="T12" i="27"/>
  <c r="T4" i="27"/>
  <c r="T7" i="27"/>
  <c r="S15" i="27"/>
  <c r="AS11" i="16"/>
  <c r="AS7" i="16"/>
  <c r="AS14" i="16"/>
  <c r="AS10" i="16"/>
  <c r="AS6" i="16"/>
  <c r="AS13" i="16"/>
  <c r="AS5" i="16"/>
  <c r="AS12" i="16"/>
  <c r="AS8" i="16"/>
  <c r="AS4" i="16"/>
  <c r="AS3" i="16"/>
  <c r="AR12" i="16"/>
  <c r="AR8" i="16"/>
  <c r="AR4" i="16"/>
  <c r="AR11" i="16"/>
  <c r="AR7" i="16"/>
  <c r="AR14" i="16"/>
  <c r="AR10" i="16"/>
  <c r="AR6" i="16"/>
  <c r="AR13" i="16"/>
  <c r="AR5" i="16"/>
  <c r="AR3" i="16"/>
  <c r="AQ3" i="16"/>
  <c r="AQ14" i="16"/>
  <c r="AQ10" i="16"/>
  <c r="AQ6" i="16"/>
  <c r="AQ11" i="16"/>
  <c r="AQ7" i="16"/>
  <c r="AQ13" i="16"/>
  <c r="AQ5" i="16"/>
  <c r="AQ12" i="16"/>
  <c r="AQ8" i="16"/>
  <c r="AQ4" i="16"/>
  <c r="AP11" i="16"/>
  <c r="AP7" i="16"/>
  <c r="AP14" i="16"/>
  <c r="AP10" i="16"/>
  <c r="AP6" i="16"/>
  <c r="AP13" i="16"/>
  <c r="AP5" i="16"/>
  <c r="AP12" i="16"/>
  <c r="AP8" i="16"/>
  <c r="AP4" i="16"/>
  <c r="AO10" i="16"/>
  <c r="AP3" i="16"/>
  <c r="AO14" i="16"/>
  <c r="AO6" i="16"/>
  <c r="AO11" i="16"/>
  <c r="AO7" i="16"/>
  <c r="AO13" i="16"/>
  <c r="AO5" i="16"/>
  <c r="AO12" i="16"/>
  <c r="AO8" i="16"/>
  <c r="AO4" i="16"/>
  <c r="AO3" i="16"/>
  <c r="AN14" i="16"/>
  <c r="AN10" i="16"/>
  <c r="AN6" i="16"/>
  <c r="AN13" i="16"/>
  <c r="AN5" i="16"/>
  <c r="AN11" i="16"/>
  <c r="AN7" i="16"/>
  <c r="AN12" i="16"/>
  <c r="AN8" i="16"/>
  <c r="AN4" i="16"/>
  <c r="AN3" i="16"/>
  <c r="R8" i="31" l="1"/>
  <c r="R7" i="31"/>
  <c r="R6" i="31"/>
  <c r="R5" i="31"/>
  <c r="R4" i="31"/>
  <c r="R3" i="31"/>
  <c r="R2" i="31"/>
  <c r="V23" i="29"/>
  <c r="W19" i="29"/>
  <c r="T15" i="27"/>
  <c r="V2" i="27"/>
  <c r="U1" i="27"/>
  <c r="U13" i="27"/>
  <c r="U9" i="27"/>
  <c r="U5" i="27"/>
  <c r="U14" i="27"/>
  <c r="U10" i="27"/>
  <c r="U6" i="27"/>
  <c r="U7" i="27"/>
  <c r="U11" i="27"/>
  <c r="U12" i="27"/>
  <c r="U4" i="27"/>
  <c r="U3" i="27"/>
  <c r="U8" i="27"/>
  <c r="X19" i="29" l="1"/>
  <c r="W23" i="29"/>
  <c r="U15" i="27"/>
  <c r="V1" i="27"/>
  <c r="W2" i="27"/>
  <c r="V13" i="27"/>
  <c r="V9" i="27"/>
  <c r="V5" i="27"/>
  <c r="V14" i="27"/>
  <c r="V10" i="27"/>
  <c r="V6" i="27"/>
  <c r="V11" i="27"/>
  <c r="V3" i="27"/>
  <c r="V8" i="27"/>
  <c r="V12" i="27"/>
  <c r="V4" i="27"/>
  <c r="V7" i="27"/>
  <c r="X23" i="29" l="1"/>
  <c r="Y19" i="29"/>
  <c r="V15" i="27"/>
  <c r="X2" i="27"/>
  <c r="W1" i="27"/>
  <c r="W13" i="27"/>
  <c r="W9" i="27"/>
  <c r="W5" i="27"/>
  <c r="W14" i="27"/>
  <c r="W10" i="27"/>
  <c r="W6" i="27"/>
  <c r="W7" i="27"/>
  <c r="W11" i="27"/>
  <c r="W12" i="27"/>
  <c r="W4" i="27"/>
  <c r="W3" i="27"/>
  <c r="W8" i="27"/>
  <c r="X4" i="24"/>
  <c r="X3" i="24"/>
  <c r="W4" i="24"/>
  <c r="W3" i="24"/>
  <c r="V4" i="24"/>
  <c r="V3" i="24"/>
  <c r="O4" i="24"/>
  <c r="O5" i="24"/>
  <c r="O6" i="24"/>
  <c r="O7" i="24"/>
  <c r="O8" i="24"/>
  <c r="O3" i="24"/>
  <c r="N4" i="24"/>
  <c r="N5" i="24"/>
  <c r="N6" i="24"/>
  <c r="N7" i="24"/>
  <c r="N8" i="24"/>
  <c r="N3" i="24"/>
  <c r="M4" i="24"/>
  <c r="M5" i="24"/>
  <c r="M6" i="24"/>
  <c r="M7" i="24"/>
  <c r="M8" i="24"/>
  <c r="M3" i="24"/>
  <c r="Z19" i="29" l="1"/>
  <c r="Y23" i="29"/>
  <c r="W15" i="27"/>
  <c r="Y2" i="27"/>
  <c r="X1" i="27"/>
  <c r="X13" i="27"/>
  <c r="X9" i="27"/>
  <c r="X5" i="27"/>
  <c r="X12" i="27"/>
  <c r="X8" i="27"/>
  <c r="X4" i="27"/>
  <c r="X14" i="27"/>
  <c r="X10" i="27"/>
  <c r="X6" i="27"/>
  <c r="X3" i="27"/>
  <c r="X7" i="27"/>
  <c r="X11" i="27"/>
  <c r="AA3" i="24"/>
  <c r="Y3" i="24"/>
  <c r="Q4" i="24"/>
  <c r="R5" i="24"/>
  <c r="P7" i="24"/>
  <c r="Q8" i="24"/>
  <c r="P3" i="24"/>
  <c r="Z4" i="24"/>
  <c r="R4" i="24"/>
  <c r="P6" i="24"/>
  <c r="Q7" i="24"/>
  <c r="R8" i="24"/>
  <c r="AA4" i="24"/>
  <c r="P5" i="24"/>
  <c r="Q6" i="24"/>
  <c r="R7" i="24"/>
  <c r="Q3" i="24"/>
  <c r="Z3" i="24"/>
  <c r="Y4" i="24"/>
  <c r="P4" i="24"/>
  <c r="Q5" i="24"/>
  <c r="R6" i="24"/>
  <c r="P8" i="24"/>
  <c r="R3" i="24"/>
  <c r="Z23" i="29" l="1"/>
  <c r="AA19" i="29"/>
  <c r="X15" i="27"/>
  <c r="Z2" i="27"/>
  <c r="Y1" i="27"/>
  <c r="Y13" i="27"/>
  <c r="Y9" i="27"/>
  <c r="Y5" i="27"/>
  <c r="Y12" i="27"/>
  <c r="Y8" i="27"/>
  <c r="Y4" i="27"/>
  <c r="Y14" i="27"/>
  <c r="Y10" i="27"/>
  <c r="Y6" i="27"/>
  <c r="Y7" i="27"/>
  <c r="Y3" i="27"/>
  <c r="Y11" i="27"/>
  <c r="S8" i="24"/>
  <c r="S6" i="24"/>
  <c r="AB3" i="24"/>
  <c r="AB4" i="24"/>
  <c r="S3" i="24"/>
  <c r="S4" i="24"/>
  <c r="S7" i="24"/>
  <c r="S5" i="24"/>
  <c r="I4" i="24"/>
  <c r="I5" i="24"/>
  <c r="I6" i="24"/>
  <c r="I7" i="24"/>
  <c r="I9" i="24"/>
  <c r="I10" i="24"/>
  <c r="I11" i="24"/>
  <c r="I12" i="24"/>
  <c r="I13" i="24"/>
  <c r="H4" i="24"/>
  <c r="H5" i="24"/>
  <c r="H6" i="24"/>
  <c r="H7" i="24"/>
  <c r="H9" i="24"/>
  <c r="H10" i="24"/>
  <c r="H11" i="24"/>
  <c r="H12" i="24"/>
  <c r="H13" i="24"/>
  <c r="H3" i="24"/>
  <c r="I3" i="24"/>
  <c r="G4" i="24"/>
  <c r="G5" i="24"/>
  <c r="G6" i="24"/>
  <c r="G7" i="24"/>
  <c r="G9" i="24"/>
  <c r="G10" i="24"/>
  <c r="G11" i="24"/>
  <c r="G12" i="24"/>
  <c r="G13" i="24"/>
  <c r="G3" i="24"/>
  <c r="F4" i="24"/>
  <c r="F5" i="24"/>
  <c r="F6" i="24"/>
  <c r="F7" i="24"/>
  <c r="F9" i="24"/>
  <c r="F10" i="24"/>
  <c r="F11" i="24"/>
  <c r="F12" i="24"/>
  <c r="F13" i="24"/>
  <c r="F3" i="24"/>
  <c r="E4" i="24"/>
  <c r="E5" i="24"/>
  <c r="E6" i="24"/>
  <c r="E7" i="24"/>
  <c r="E9" i="24"/>
  <c r="E10" i="24"/>
  <c r="E11" i="24"/>
  <c r="E12" i="24"/>
  <c r="E13" i="24"/>
  <c r="E3" i="24"/>
  <c r="D4" i="24"/>
  <c r="J4" i="24" s="1"/>
  <c r="D5" i="24"/>
  <c r="D6" i="24"/>
  <c r="D7" i="24"/>
  <c r="D9" i="24"/>
  <c r="D10" i="24"/>
  <c r="D11" i="24"/>
  <c r="D12" i="24"/>
  <c r="J12" i="24" s="1"/>
  <c r="D13" i="24"/>
  <c r="D3" i="24"/>
  <c r="B1" i="24"/>
  <c r="AB19" i="29" l="1"/>
  <c r="AA23" i="29"/>
  <c r="Y15" i="27"/>
  <c r="Z1" i="27"/>
  <c r="AA2" i="27"/>
  <c r="Z13" i="27"/>
  <c r="Z9" i="27"/>
  <c r="Z5" i="27"/>
  <c r="Z12" i="27"/>
  <c r="Z8" i="27"/>
  <c r="Z4" i="27"/>
  <c r="Z14" i="27"/>
  <c r="Z10" i="27"/>
  <c r="Z6" i="27"/>
  <c r="Z11" i="27"/>
  <c r="Z7" i="27"/>
  <c r="Z3" i="27"/>
  <c r="J9" i="24"/>
  <c r="J11" i="24"/>
  <c r="J10" i="24"/>
  <c r="J7" i="24"/>
  <c r="J3" i="24"/>
  <c r="J6" i="24"/>
  <c r="J13" i="24"/>
  <c r="J5" i="24"/>
  <c r="D11" i="7"/>
  <c r="E16" i="7"/>
  <c r="C25" i="7"/>
  <c r="D5" i="7"/>
  <c r="D13" i="7"/>
  <c r="E29" i="7"/>
  <c r="B49" i="7"/>
  <c r="D38" i="7"/>
  <c r="D20" i="7"/>
  <c r="C36" i="7"/>
  <c r="C7" i="7"/>
  <c r="D24" i="7"/>
  <c r="B30" i="7"/>
  <c r="C34" i="7"/>
  <c r="C46" i="7"/>
  <c r="B46" i="7"/>
  <c r="D17" i="7"/>
  <c r="E45" i="7"/>
  <c r="B8" i="7"/>
  <c r="B42" i="7"/>
  <c r="B35" i="7"/>
  <c r="D23" i="7"/>
  <c r="E46" i="7"/>
  <c r="B37" i="7"/>
  <c r="E24" i="7"/>
  <c r="C17" i="7"/>
  <c r="C49" i="7"/>
  <c r="B14" i="7"/>
  <c r="C10" i="7"/>
  <c r="C5" i="7"/>
  <c r="D40" i="7"/>
  <c r="D39" i="7"/>
  <c r="D33" i="7"/>
  <c r="D27" i="7"/>
  <c r="D36" i="7"/>
  <c r="E8" i="7"/>
  <c r="B28" i="7"/>
  <c r="D9" i="7"/>
  <c r="E14" i="7"/>
  <c r="B10" i="7"/>
  <c r="C39" i="7"/>
  <c r="D30" i="7"/>
  <c r="B47" i="7"/>
  <c r="B45" i="7"/>
  <c r="D34" i="7"/>
  <c r="C29" i="7"/>
  <c r="D49" i="7"/>
  <c r="C20" i="7"/>
  <c r="C6" i="7"/>
  <c r="C12" i="7"/>
  <c r="D47" i="7"/>
  <c r="C27" i="7"/>
  <c r="C23" i="7"/>
  <c r="E9" i="7"/>
  <c r="C15" i="7"/>
  <c r="C8" i="7"/>
  <c r="E7" i="7"/>
  <c r="B41" i="7"/>
  <c r="B29" i="7"/>
  <c r="B6" i="7"/>
  <c r="D10" i="7"/>
  <c r="B39" i="7"/>
  <c r="D16" i="7"/>
  <c r="E26" i="7"/>
  <c r="B12" i="7"/>
  <c r="E47" i="7"/>
  <c r="C16" i="7"/>
  <c r="E48" i="7"/>
  <c r="B33" i="7"/>
  <c r="C22" i="7"/>
  <c r="C42" i="7"/>
  <c r="C47" i="7"/>
  <c r="E5" i="7"/>
  <c r="C11" i="7"/>
  <c r="D37" i="7"/>
  <c r="B48" i="7"/>
  <c r="D41" i="7"/>
  <c r="C28" i="7"/>
  <c r="C38" i="7"/>
  <c r="D7" i="7"/>
  <c r="B40" i="7"/>
  <c r="E21" i="7"/>
  <c r="B16" i="7"/>
  <c r="B9" i="7"/>
  <c r="B21" i="7"/>
  <c r="E17" i="7"/>
  <c r="C24" i="7"/>
  <c r="B26" i="7"/>
  <c r="E11" i="7"/>
  <c r="C48" i="7"/>
  <c r="D42" i="7"/>
  <c r="B34" i="7"/>
  <c r="D29" i="7"/>
  <c r="D22" i="7"/>
  <c r="C21" i="7"/>
  <c r="B36" i="7"/>
  <c r="C26" i="7"/>
  <c r="E23" i="7"/>
  <c r="B23" i="7"/>
  <c r="C37" i="7"/>
  <c r="B13" i="7"/>
  <c r="B20" i="7"/>
  <c r="E15" i="7"/>
  <c r="E49" i="7"/>
  <c r="D46" i="7"/>
  <c r="E30" i="7"/>
  <c r="B27" i="7"/>
  <c r="E10" i="7"/>
  <c r="B17" i="7"/>
  <c r="C14" i="7"/>
  <c r="D12" i="7"/>
  <c r="E28" i="7"/>
  <c r="D48" i="7"/>
  <c r="D35" i="7"/>
  <c r="C13" i="7"/>
  <c r="C41" i="7"/>
  <c r="E27" i="7"/>
  <c r="C9" i="7"/>
  <c r="E6" i="7"/>
  <c r="B11" i="7"/>
  <c r="C30" i="7"/>
  <c r="B7" i="7"/>
  <c r="B25" i="7"/>
  <c r="E12" i="7"/>
  <c r="D6" i="7"/>
  <c r="D25" i="7"/>
  <c r="C33" i="7"/>
  <c r="E13" i="7"/>
  <c r="D21" i="7"/>
  <c r="C35" i="7"/>
  <c r="B15" i="7"/>
  <c r="D26" i="7"/>
  <c r="D8" i="7"/>
  <c r="D14" i="7"/>
  <c r="E22" i="7"/>
  <c r="B22" i="7"/>
  <c r="C40" i="7"/>
  <c r="C45" i="7"/>
  <c r="E20" i="7"/>
  <c r="B38" i="7"/>
  <c r="D45" i="7"/>
  <c r="B24" i="7"/>
  <c r="B5" i="7"/>
  <c r="E25" i="7"/>
  <c r="D15" i="7"/>
  <c r="D28" i="7"/>
  <c r="AB23" i="29" l="1"/>
  <c r="AC19" i="29"/>
  <c r="Z15" i="27"/>
  <c r="AB2" i="27"/>
  <c r="AA1" i="27"/>
  <c r="AA13" i="27"/>
  <c r="AA9" i="27"/>
  <c r="AA5" i="27"/>
  <c r="AA12" i="27"/>
  <c r="AA8" i="27"/>
  <c r="AA4" i="27"/>
  <c r="AA14" i="27"/>
  <c r="AA10" i="27"/>
  <c r="AA6" i="27"/>
  <c r="AA7" i="27"/>
  <c r="AA11" i="27"/>
  <c r="AA3" i="27"/>
  <c r="H27" i="20"/>
  <c r="H26" i="20"/>
  <c r="H25" i="20"/>
  <c r="H24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11" i="20"/>
  <c r="H10" i="20"/>
  <c r="H9" i="20"/>
  <c r="H8" i="20"/>
  <c r="H7" i="20"/>
  <c r="H6" i="20"/>
  <c r="H5" i="20"/>
  <c r="H4" i="20"/>
  <c r="AD19" i="29" l="1"/>
  <c r="AC23" i="29"/>
  <c r="AA15" i="27"/>
  <c r="AB1" i="27"/>
  <c r="AC2" i="27"/>
  <c r="AB13" i="27"/>
  <c r="AB9" i="27"/>
  <c r="AB5" i="27"/>
  <c r="AB12" i="27"/>
  <c r="AB8" i="27"/>
  <c r="AB4" i="27"/>
  <c r="AB14" i="27"/>
  <c r="AB10" i="27"/>
  <c r="AB6" i="27"/>
  <c r="AB3" i="27"/>
  <c r="AB7" i="27"/>
  <c r="AB11" i="27"/>
  <c r="I16" i="20"/>
  <c r="J16" i="20" s="1"/>
  <c r="K16" i="20" s="1"/>
  <c r="L16" i="20" s="1"/>
  <c r="M16" i="20" s="1"/>
  <c r="N16" i="20" s="1"/>
  <c r="O16" i="20" s="1"/>
  <c r="P16" i="20" s="1"/>
  <c r="Q16" i="20" s="1"/>
  <c r="R16" i="20" s="1"/>
  <c r="S16" i="20" s="1"/>
  <c r="T16" i="20" s="1"/>
  <c r="U16" i="20" s="1"/>
  <c r="V16" i="20" s="1"/>
  <c r="W16" i="20" s="1"/>
  <c r="X16" i="20" s="1"/>
  <c r="Y16" i="20" s="1"/>
  <c r="Z16" i="20" s="1"/>
  <c r="AA16" i="20" s="1"/>
  <c r="AB16" i="20" s="1"/>
  <c r="I13" i="20"/>
  <c r="J13" i="20" s="1"/>
  <c r="K13" i="20" s="1"/>
  <c r="L13" i="20" s="1"/>
  <c r="M13" i="20" s="1"/>
  <c r="N13" i="20" s="1"/>
  <c r="O13" i="20" s="1"/>
  <c r="P13" i="20" s="1"/>
  <c r="Q13" i="20" s="1"/>
  <c r="R13" i="20" s="1"/>
  <c r="S13" i="20" s="1"/>
  <c r="T13" i="20" s="1"/>
  <c r="U13" i="20" s="1"/>
  <c r="V13" i="20" s="1"/>
  <c r="W13" i="20" s="1"/>
  <c r="I21" i="20"/>
  <c r="J21" i="20" s="1"/>
  <c r="K21" i="20" s="1"/>
  <c r="L21" i="20" s="1"/>
  <c r="M21" i="20" s="1"/>
  <c r="N21" i="20" s="1"/>
  <c r="O21" i="20" s="1"/>
  <c r="P21" i="20" s="1"/>
  <c r="Q21" i="20" s="1"/>
  <c r="R21" i="20" s="1"/>
  <c r="S21" i="20" s="1"/>
  <c r="T21" i="20" s="1"/>
  <c r="U21" i="20" s="1"/>
  <c r="V21" i="20" s="1"/>
  <c r="W21" i="20" s="1"/>
  <c r="X21" i="20" s="1"/>
  <c r="Y21" i="20" s="1"/>
  <c r="Z21" i="20" s="1"/>
  <c r="AA21" i="20" s="1"/>
  <c r="AB21" i="20" s="1"/>
  <c r="AC21" i="20" s="1"/>
  <c r="AD21" i="20" s="1"/>
  <c r="AE21" i="20" s="1"/>
  <c r="AF21" i="20" s="1"/>
  <c r="AG21" i="20" s="1"/>
  <c r="AH21" i="20" s="1"/>
  <c r="AI21" i="20" s="1"/>
  <c r="AJ21" i="20" s="1"/>
  <c r="AK21" i="20" s="1"/>
  <c r="AL21" i="20" s="1"/>
  <c r="AM21" i="20" s="1"/>
  <c r="AN21" i="20" s="1"/>
  <c r="AO21" i="20" s="1"/>
  <c r="AP21" i="20" s="1"/>
  <c r="AQ21" i="20" s="1"/>
  <c r="AR21" i="20" s="1"/>
  <c r="AS21" i="20" s="1"/>
  <c r="AT21" i="20" s="1"/>
  <c r="AU21" i="20" s="1"/>
  <c r="AV21" i="20" s="1"/>
  <c r="AW21" i="20" s="1"/>
  <c r="AX21" i="20" s="1"/>
  <c r="AY21" i="20" s="1"/>
  <c r="AZ21" i="20" s="1"/>
  <c r="BA21" i="20" s="1"/>
  <c r="BB21" i="20" s="1"/>
  <c r="BC21" i="20" s="1"/>
  <c r="BD21" i="20" s="1"/>
  <c r="BE21" i="20" s="1"/>
  <c r="BF21" i="20" s="1"/>
  <c r="BG21" i="20" s="1"/>
  <c r="BH21" i="20" s="1"/>
  <c r="BI21" i="20" s="1"/>
  <c r="BJ21" i="20" s="1"/>
  <c r="BK21" i="20" s="1"/>
  <c r="BL21" i="20" s="1"/>
  <c r="BM21" i="20" s="1"/>
  <c r="BN21" i="20" s="1"/>
  <c r="BO21" i="20" s="1"/>
  <c r="BP21" i="20" s="1"/>
  <c r="BQ21" i="20" s="1"/>
  <c r="BR21" i="20" s="1"/>
  <c r="BS21" i="20" s="1"/>
  <c r="BT21" i="20" s="1"/>
  <c r="BU21" i="20" s="1"/>
  <c r="BV21" i="20" s="1"/>
  <c r="BW21" i="20" s="1"/>
  <c r="BX21" i="20" s="1"/>
  <c r="BY21" i="20" s="1"/>
  <c r="BZ21" i="20" s="1"/>
  <c r="CA21" i="20" s="1"/>
  <c r="CB21" i="20" s="1"/>
  <c r="I25" i="20"/>
  <c r="J25" i="20" s="1"/>
  <c r="K25" i="20" s="1"/>
  <c r="L25" i="20" s="1"/>
  <c r="M25" i="20" s="1"/>
  <c r="N25" i="20" s="1"/>
  <c r="O25" i="20" s="1"/>
  <c r="P25" i="20" s="1"/>
  <c r="Q25" i="20" s="1"/>
  <c r="R25" i="20" s="1"/>
  <c r="S25" i="20" s="1"/>
  <c r="T25" i="20" s="1"/>
  <c r="U25" i="20" s="1"/>
  <c r="V25" i="20" s="1"/>
  <c r="W25" i="20" s="1"/>
  <c r="X25" i="20" s="1"/>
  <c r="Y25" i="20" s="1"/>
  <c r="Z25" i="20" s="1"/>
  <c r="AA25" i="20" s="1"/>
  <c r="AB25" i="20" s="1"/>
  <c r="AC25" i="20" s="1"/>
  <c r="AD25" i="20" s="1"/>
  <c r="AE25" i="20" s="1"/>
  <c r="AF25" i="20" s="1"/>
  <c r="AG25" i="20" s="1"/>
  <c r="AH25" i="20" s="1"/>
  <c r="AI25" i="20" s="1"/>
  <c r="AJ25" i="20" s="1"/>
  <c r="AK25" i="20" s="1"/>
  <c r="AL25" i="20" s="1"/>
  <c r="AM25" i="20" s="1"/>
  <c r="AN25" i="20" s="1"/>
  <c r="AO25" i="20" s="1"/>
  <c r="AP25" i="20" s="1"/>
  <c r="AQ25" i="20" s="1"/>
  <c r="AR25" i="20" s="1"/>
  <c r="AS25" i="20" s="1"/>
  <c r="AT25" i="20" s="1"/>
  <c r="AU25" i="20" s="1"/>
  <c r="AV25" i="20" s="1"/>
  <c r="AW25" i="20" s="1"/>
  <c r="AX25" i="20" s="1"/>
  <c r="I7" i="20"/>
  <c r="J7" i="20" s="1"/>
  <c r="K7" i="20" s="1"/>
  <c r="L7" i="20" s="1"/>
  <c r="M7" i="20" s="1"/>
  <c r="N7" i="20" s="1"/>
  <c r="O7" i="20" s="1"/>
  <c r="P7" i="20" s="1"/>
  <c r="Q7" i="20" s="1"/>
  <c r="R7" i="20" s="1"/>
  <c r="S7" i="20" s="1"/>
  <c r="T7" i="20" s="1"/>
  <c r="U7" i="20" s="1"/>
  <c r="V7" i="20" s="1"/>
  <c r="W7" i="20" s="1"/>
  <c r="X7" i="20" s="1"/>
  <c r="Y7" i="20" s="1"/>
  <c r="Z7" i="20" s="1"/>
  <c r="AA7" i="20" s="1"/>
  <c r="AB7" i="20" s="1"/>
  <c r="AC7" i="20" s="1"/>
  <c r="AD7" i="20" s="1"/>
  <c r="AE7" i="20" s="1"/>
  <c r="AF7" i="20" s="1"/>
  <c r="AG7" i="20" s="1"/>
  <c r="AH7" i="20" s="1"/>
  <c r="AI7" i="20" s="1"/>
  <c r="AJ7" i="20" s="1"/>
  <c r="AK7" i="20" s="1"/>
  <c r="I11" i="20"/>
  <c r="J11" i="20" s="1"/>
  <c r="K11" i="20" s="1"/>
  <c r="L11" i="20" s="1"/>
  <c r="M11" i="20" s="1"/>
  <c r="N11" i="20" s="1"/>
  <c r="O11" i="20" s="1"/>
  <c r="P11" i="20" s="1"/>
  <c r="Q11" i="20" s="1"/>
  <c r="I19" i="20"/>
  <c r="J19" i="20" s="1"/>
  <c r="K19" i="20" s="1"/>
  <c r="L19" i="20" s="1"/>
  <c r="M19" i="20" s="1"/>
  <c r="N19" i="20" s="1"/>
  <c r="O19" i="20" s="1"/>
  <c r="P19" i="20" s="1"/>
  <c r="Q19" i="20" s="1"/>
  <c r="R19" i="20" s="1"/>
  <c r="S19" i="20" s="1"/>
  <c r="T19" i="20" s="1"/>
  <c r="U19" i="20" s="1"/>
  <c r="V19" i="20" s="1"/>
  <c r="W19" i="20" s="1"/>
  <c r="X19" i="20" s="1"/>
  <c r="Y19" i="20" s="1"/>
  <c r="Z19" i="20" s="1"/>
  <c r="AA19" i="20" s="1"/>
  <c r="AB19" i="20" s="1"/>
  <c r="AC19" i="20" s="1"/>
  <c r="AD19" i="20" s="1"/>
  <c r="AE19" i="20" s="1"/>
  <c r="AF19" i="20" s="1"/>
  <c r="AG19" i="20" s="1"/>
  <c r="AH19" i="20" s="1"/>
  <c r="AI19" i="20" s="1"/>
  <c r="AJ19" i="20" s="1"/>
  <c r="AK19" i="20" s="1"/>
  <c r="AL19" i="20" s="1"/>
  <c r="AM19" i="20" s="1"/>
  <c r="AN19" i="20" s="1"/>
  <c r="AO19" i="20" s="1"/>
  <c r="AP19" i="20" s="1"/>
  <c r="AQ19" i="20" s="1"/>
  <c r="AR19" i="20" s="1"/>
  <c r="AS19" i="20" s="1"/>
  <c r="I23" i="20"/>
  <c r="J23" i="20" s="1"/>
  <c r="K23" i="20" s="1"/>
  <c r="L23" i="20" s="1"/>
  <c r="M23" i="20" s="1"/>
  <c r="N23" i="20" s="1"/>
  <c r="O23" i="20" s="1"/>
  <c r="P23" i="20" s="1"/>
  <c r="Q23" i="20" s="1"/>
  <c r="R23" i="20" s="1"/>
  <c r="S23" i="20" s="1"/>
  <c r="T23" i="20" s="1"/>
  <c r="U23" i="20" s="1"/>
  <c r="V23" i="20" s="1"/>
  <c r="W23" i="20" s="1"/>
  <c r="X23" i="20" s="1"/>
  <c r="Y23" i="20" s="1"/>
  <c r="Z23" i="20" s="1"/>
  <c r="AA23" i="20" s="1"/>
  <c r="AB23" i="20" s="1"/>
  <c r="AC23" i="20" s="1"/>
  <c r="AD23" i="20" s="1"/>
  <c r="I27" i="20"/>
  <c r="J27" i="20" s="1"/>
  <c r="K27" i="20" s="1"/>
  <c r="L27" i="20" s="1"/>
  <c r="M27" i="20" s="1"/>
  <c r="N27" i="20" s="1"/>
  <c r="O27" i="20" s="1"/>
  <c r="P27" i="20" s="1"/>
  <c r="Q27" i="20" s="1"/>
  <c r="R27" i="20" s="1"/>
  <c r="S27" i="20" s="1"/>
  <c r="T27" i="20" s="1"/>
  <c r="U27" i="20" s="1"/>
  <c r="V27" i="20" s="1"/>
  <c r="W27" i="20" s="1"/>
  <c r="X27" i="20" s="1"/>
  <c r="Y27" i="20" s="1"/>
  <c r="Z27" i="20" s="1"/>
  <c r="AA27" i="20" s="1"/>
  <c r="AB27" i="20" s="1"/>
  <c r="AC27" i="20" s="1"/>
  <c r="AD27" i="20" s="1"/>
  <c r="AE27" i="20" s="1"/>
  <c r="AF27" i="20" s="1"/>
  <c r="AG27" i="20" s="1"/>
  <c r="AH27" i="20" s="1"/>
  <c r="AI27" i="20" s="1"/>
  <c r="AJ27" i="20" s="1"/>
  <c r="AK27" i="20" s="1"/>
  <c r="AL27" i="20" s="1"/>
  <c r="AM27" i="20" s="1"/>
  <c r="AN27" i="20" s="1"/>
  <c r="AO27" i="20" s="1"/>
  <c r="AP27" i="20" s="1"/>
  <c r="AQ27" i="20" s="1"/>
  <c r="AR27" i="20" s="1"/>
  <c r="AS27" i="20" s="1"/>
  <c r="AT27" i="20" s="1"/>
  <c r="AU27" i="20" s="1"/>
  <c r="AV27" i="20" s="1"/>
  <c r="AW27" i="20" s="1"/>
  <c r="AX27" i="20" s="1"/>
  <c r="AY27" i="20" s="1"/>
  <c r="AZ27" i="20" s="1"/>
  <c r="BA27" i="20" s="1"/>
  <c r="BB27" i="20" s="1"/>
  <c r="BC27" i="20" s="1"/>
  <c r="BD27" i="20" s="1"/>
  <c r="BE27" i="20" s="1"/>
  <c r="BF27" i="20" s="1"/>
  <c r="BG27" i="20" s="1"/>
  <c r="BH27" i="20" s="1"/>
  <c r="BI27" i="20" s="1"/>
  <c r="BJ27" i="20" s="1"/>
  <c r="BK27" i="20" s="1"/>
  <c r="BL27" i="20" s="1"/>
  <c r="BM27" i="20" s="1"/>
  <c r="BN27" i="20" s="1"/>
  <c r="BO27" i="20" s="1"/>
  <c r="BP27" i="20" s="1"/>
  <c r="BQ27" i="20" s="1"/>
  <c r="BR27" i="20" s="1"/>
  <c r="BS27" i="20" s="1"/>
  <c r="BT27" i="20" s="1"/>
  <c r="BU27" i="20" s="1"/>
  <c r="BV27" i="20" s="1"/>
  <c r="BW27" i="20" s="1"/>
  <c r="BX27" i="20" s="1"/>
  <c r="BY27" i="20" s="1"/>
  <c r="BZ27" i="20" s="1"/>
  <c r="I4" i="20"/>
  <c r="I20" i="20"/>
  <c r="J20" i="20" s="1"/>
  <c r="K20" i="20" s="1"/>
  <c r="L20" i="20" s="1"/>
  <c r="M20" i="20" s="1"/>
  <c r="N20" i="20" s="1"/>
  <c r="O20" i="20" s="1"/>
  <c r="P20" i="20" s="1"/>
  <c r="Q20" i="20" s="1"/>
  <c r="R20" i="20" s="1"/>
  <c r="S20" i="20" s="1"/>
  <c r="T20" i="20" s="1"/>
  <c r="U20" i="20" s="1"/>
  <c r="V20" i="20" s="1"/>
  <c r="W20" i="20" s="1"/>
  <c r="X20" i="20" s="1"/>
  <c r="Y20" i="20" s="1"/>
  <c r="Z20" i="20" s="1"/>
  <c r="AA20" i="20" s="1"/>
  <c r="AB20" i="20" s="1"/>
  <c r="AC20" i="20" s="1"/>
  <c r="AD20" i="20" s="1"/>
  <c r="AE20" i="20" s="1"/>
  <c r="AF20" i="20" s="1"/>
  <c r="AG20" i="20" s="1"/>
  <c r="AH20" i="20" s="1"/>
  <c r="AI20" i="20" s="1"/>
  <c r="AJ20" i="20" s="1"/>
  <c r="AK20" i="20" s="1"/>
  <c r="AL20" i="20" s="1"/>
  <c r="AM20" i="20" s="1"/>
  <c r="AN20" i="20" s="1"/>
  <c r="AO20" i="20" s="1"/>
  <c r="AP20" i="20" s="1"/>
  <c r="AQ20" i="20" s="1"/>
  <c r="AR20" i="20" s="1"/>
  <c r="AS20" i="20" s="1"/>
  <c r="AT20" i="20" s="1"/>
  <c r="AU20" i="20" s="1"/>
  <c r="AV20" i="20" s="1"/>
  <c r="AW20" i="20" s="1"/>
  <c r="AX20" i="20" s="1"/>
  <c r="AY20" i="20" s="1"/>
  <c r="AZ20" i="20" s="1"/>
  <c r="BA20" i="20" s="1"/>
  <c r="BB20" i="20" s="1"/>
  <c r="I24" i="20"/>
  <c r="J24" i="20" s="1"/>
  <c r="K24" i="20" s="1"/>
  <c r="L24" i="20" s="1"/>
  <c r="M24" i="20" s="1"/>
  <c r="N24" i="20" s="1"/>
  <c r="O24" i="20" s="1"/>
  <c r="P24" i="20" s="1"/>
  <c r="Q24" i="20" s="1"/>
  <c r="R24" i="20" s="1"/>
  <c r="S24" i="20" s="1"/>
  <c r="T24" i="20" s="1"/>
  <c r="U24" i="20" s="1"/>
  <c r="V24" i="20" s="1"/>
  <c r="W24" i="20" s="1"/>
  <c r="X24" i="20" s="1"/>
  <c r="Y24" i="20" s="1"/>
  <c r="Z24" i="20" s="1"/>
  <c r="AA24" i="20" s="1"/>
  <c r="AB24" i="20" s="1"/>
  <c r="AC24" i="20" s="1"/>
  <c r="AD24" i="20" s="1"/>
  <c r="AE24" i="20" s="1"/>
  <c r="AF24" i="20" s="1"/>
  <c r="AG24" i="20" s="1"/>
  <c r="AH24" i="20" s="1"/>
  <c r="AI24" i="20" s="1"/>
  <c r="AJ24" i="20" s="1"/>
  <c r="AK24" i="20" s="1"/>
  <c r="AL24" i="20" s="1"/>
  <c r="AM24" i="20" s="1"/>
  <c r="AN24" i="20" s="1"/>
  <c r="I12" i="20"/>
  <c r="J12" i="20" s="1"/>
  <c r="K12" i="20" s="1"/>
  <c r="L12" i="20" s="1"/>
  <c r="M12" i="20" s="1"/>
  <c r="N12" i="20" s="1"/>
  <c r="O12" i="20" s="1"/>
  <c r="P12" i="20" s="1"/>
  <c r="Q12" i="20" s="1"/>
  <c r="R12" i="20" s="1"/>
  <c r="S12" i="20" s="1"/>
  <c r="I17" i="20"/>
  <c r="J17" i="20" s="1"/>
  <c r="K17" i="20" s="1"/>
  <c r="L17" i="20" s="1"/>
  <c r="M17" i="20" s="1"/>
  <c r="N17" i="20" s="1"/>
  <c r="O17" i="20" s="1"/>
  <c r="P17" i="20" s="1"/>
  <c r="Q17" i="20" s="1"/>
  <c r="R17" i="20" s="1"/>
  <c r="S17" i="20" s="1"/>
  <c r="T17" i="20" s="1"/>
  <c r="U17" i="20" s="1"/>
  <c r="V17" i="20" s="1"/>
  <c r="W17" i="20" s="1"/>
  <c r="X17" i="20" s="1"/>
  <c r="Y17" i="20" s="1"/>
  <c r="Z17" i="20" s="1"/>
  <c r="AA17" i="20" s="1"/>
  <c r="AB17" i="20" s="1"/>
  <c r="AC17" i="20" s="1"/>
  <c r="AD17" i="20" s="1"/>
  <c r="AE17" i="20" s="1"/>
  <c r="AF17" i="20" s="1"/>
  <c r="AG17" i="20" s="1"/>
  <c r="I14" i="20"/>
  <c r="J14" i="20" s="1"/>
  <c r="K14" i="20" s="1"/>
  <c r="L14" i="20" s="1"/>
  <c r="M14" i="20" s="1"/>
  <c r="N14" i="20" s="1"/>
  <c r="O14" i="20" s="1"/>
  <c r="P14" i="20" s="1"/>
  <c r="Q14" i="20" s="1"/>
  <c r="R14" i="20" s="1"/>
  <c r="S14" i="20" s="1"/>
  <c r="T14" i="20" s="1"/>
  <c r="U14" i="20" s="1"/>
  <c r="V14" i="20" s="1"/>
  <c r="W14" i="20" s="1"/>
  <c r="X14" i="20" s="1"/>
  <c r="Y14" i="20" s="1"/>
  <c r="Z14" i="20" s="1"/>
  <c r="AA14" i="20" s="1"/>
  <c r="I18" i="20"/>
  <c r="J18" i="20" s="1"/>
  <c r="K18" i="20" s="1"/>
  <c r="L18" i="20" s="1"/>
  <c r="M18" i="20" s="1"/>
  <c r="N18" i="20" s="1"/>
  <c r="O18" i="20" s="1"/>
  <c r="P18" i="20" s="1"/>
  <c r="Q18" i="20" s="1"/>
  <c r="R18" i="20" s="1"/>
  <c r="S18" i="20" s="1"/>
  <c r="T18" i="20" s="1"/>
  <c r="U18" i="20" s="1"/>
  <c r="V18" i="20" s="1"/>
  <c r="W18" i="20" s="1"/>
  <c r="X18" i="20" s="1"/>
  <c r="Y18" i="20" s="1"/>
  <c r="Z18" i="20" s="1"/>
  <c r="AA18" i="20" s="1"/>
  <c r="AB18" i="20" s="1"/>
  <c r="AC18" i="20" s="1"/>
  <c r="AD18" i="20" s="1"/>
  <c r="AE18" i="20" s="1"/>
  <c r="AF18" i="20" s="1"/>
  <c r="AG18" i="20" s="1"/>
  <c r="AH18" i="20" s="1"/>
  <c r="AI18" i="20" s="1"/>
  <c r="I22" i="20"/>
  <c r="J22" i="20" s="1"/>
  <c r="K22" i="20" s="1"/>
  <c r="L22" i="20" s="1"/>
  <c r="M22" i="20" s="1"/>
  <c r="N22" i="20" s="1"/>
  <c r="O22" i="20" s="1"/>
  <c r="P22" i="20" s="1"/>
  <c r="Q22" i="20" s="1"/>
  <c r="I26" i="20"/>
  <c r="J26" i="20" s="1"/>
  <c r="K26" i="20" s="1"/>
  <c r="L26" i="20" s="1"/>
  <c r="M26" i="20" s="1"/>
  <c r="N26" i="20" s="1"/>
  <c r="O26" i="20" s="1"/>
  <c r="P26" i="20" s="1"/>
  <c r="Q26" i="20" s="1"/>
  <c r="R26" i="20" s="1"/>
  <c r="S26" i="20" s="1"/>
  <c r="T26" i="20" s="1"/>
  <c r="U26" i="20" s="1"/>
  <c r="V26" i="20" s="1"/>
  <c r="W26" i="20" s="1"/>
  <c r="X26" i="20" s="1"/>
  <c r="Y26" i="20" s="1"/>
  <c r="Z26" i="20" s="1"/>
  <c r="AA26" i="20" s="1"/>
  <c r="AB26" i="20" s="1"/>
  <c r="AC26" i="20" s="1"/>
  <c r="AD26" i="20" s="1"/>
  <c r="AE26" i="20" s="1"/>
  <c r="AF26" i="20" s="1"/>
  <c r="AG26" i="20" s="1"/>
  <c r="AH26" i="20" s="1"/>
  <c r="AI26" i="20" s="1"/>
  <c r="AJ26" i="20" s="1"/>
  <c r="AK26" i="20" s="1"/>
  <c r="AL26" i="20" s="1"/>
  <c r="AM26" i="20" s="1"/>
  <c r="AN26" i="20" s="1"/>
  <c r="AO26" i="20" s="1"/>
  <c r="AP26" i="20" s="1"/>
  <c r="AQ26" i="20" s="1"/>
  <c r="AR26" i="20" s="1"/>
  <c r="AS26" i="20" s="1"/>
  <c r="AT26" i="20" s="1"/>
  <c r="AU26" i="20" s="1"/>
  <c r="AV26" i="20" s="1"/>
  <c r="AW26" i="20" s="1"/>
  <c r="AX26" i="20" s="1"/>
  <c r="AY26" i="20" s="1"/>
  <c r="AZ26" i="20" s="1"/>
  <c r="BA26" i="20" s="1"/>
  <c r="BB26" i="20" s="1"/>
  <c r="BC26" i="20" s="1"/>
  <c r="BD26" i="20" s="1"/>
  <c r="BE26" i="20" s="1"/>
  <c r="BF26" i="20" s="1"/>
  <c r="BG26" i="20" s="1"/>
  <c r="BH26" i="20" s="1"/>
  <c r="BI26" i="20" s="1"/>
  <c r="BJ26" i="20" s="1"/>
  <c r="BK26" i="20" s="1"/>
  <c r="I15" i="20"/>
  <c r="J15" i="20" s="1"/>
  <c r="K15" i="20" s="1"/>
  <c r="L15" i="20" s="1"/>
  <c r="M15" i="20" s="1"/>
  <c r="N15" i="20" s="1"/>
  <c r="O15" i="20" s="1"/>
  <c r="P15" i="20" s="1"/>
  <c r="Q15" i="20" s="1"/>
  <c r="R15" i="20" s="1"/>
  <c r="S15" i="20" s="1"/>
  <c r="T15" i="20" s="1"/>
  <c r="U15" i="20" s="1"/>
  <c r="V15" i="20" s="1"/>
  <c r="W15" i="20" s="1"/>
  <c r="X15" i="20" s="1"/>
  <c r="Y15" i="20" s="1"/>
  <c r="Z15" i="20" s="1"/>
  <c r="AA15" i="20" s="1"/>
  <c r="AB15" i="20" s="1"/>
  <c r="I5" i="20"/>
  <c r="J5" i="20" s="1"/>
  <c r="K5" i="20" s="1"/>
  <c r="L5" i="20" s="1"/>
  <c r="M5" i="20" s="1"/>
  <c r="N5" i="20" s="1"/>
  <c r="O5" i="20" s="1"/>
  <c r="P5" i="20" s="1"/>
  <c r="Q5" i="20" s="1"/>
  <c r="R5" i="20" s="1"/>
  <c r="S5" i="20" s="1"/>
  <c r="T5" i="20" s="1"/>
  <c r="U5" i="20" s="1"/>
  <c r="V5" i="20" s="1"/>
  <c r="W5" i="20" s="1"/>
  <c r="X5" i="20" s="1"/>
  <c r="Y5" i="20" s="1"/>
  <c r="I6" i="20"/>
  <c r="I8" i="20"/>
  <c r="J8" i="20" s="1"/>
  <c r="K8" i="20" s="1"/>
  <c r="L8" i="20" s="1"/>
  <c r="M8" i="20" s="1"/>
  <c r="N8" i="20" s="1"/>
  <c r="O8" i="20" s="1"/>
  <c r="P8" i="20" s="1"/>
  <c r="Q8" i="20" s="1"/>
  <c r="R8" i="20" s="1"/>
  <c r="S8" i="20" s="1"/>
  <c r="T8" i="20" s="1"/>
  <c r="U8" i="20" s="1"/>
  <c r="V8" i="20" s="1"/>
  <c r="W8" i="20" s="1"/>
  <c r="X8" i="20" s="1"/>
  <c r="Y8" i="20" s="1"/>
  <c r="Z8" i="20" s="1"/>
  <c r="AA8" i="20" s="1"/>
  <c r="AB8" i="20" s="1"/>
  <c r="AC8" i="20" s="1"/>
  <c r="AD8" i="20" s="1"/>
  <c r="AE8" i="20" s="1"/>
  <c r="AF8" i="20" s="1"/>
  <c r="AG8" i="20" s="1"/>
  <c r="AH8" i="20" s="1"/>
  <c r="AI8" i="20" s="1"/>
  <c r="AJ8" i="20" s="1"/>
  <c r="AK8" i="20" s="1"/>
  <c r="AL8" i="20" s="1"/>
  <c r="AM8" i="20" s="1"/>
  <c r="AN8" i="20" s="1"/>
  <c r="AO8" i="20" s="1"/>
  <c r="AP8" i="20" s="1"/>
  <c r="AQ8" i="20" s="1"/>
  <c r="AR8" i="20" s="1"/>
  <c r="I9" i="20"/>
  <c r="J9" i="20" s="1"/>
  <c r="K9" i="20" s="1"/>
  <c r="L9" i="20" s="1"/>
  <c r="M9" i="20" s="1"/>
  <c r="N9" i="20" s="1"/>
  <c r="O9" i="20" s="1"/>
  <c r="P9" i="20" s="1"/>
  <c r="Q9" i="20" s="1"/>
  <c r="R9" i="20" s="1"/>
  <c r="S9" i="20" s="1"/>
  <c r="T9" i="20" s="1"/>
  <c r="U9" i="20" s="1"/>
  <c r="V9" i="20" s="1"/>
  <c r="W9" i="20" s="1"/>
  <c r="X9" i="20" s="1"/>
  <c r="Y9" i="20" s="1"/>
  <c r="Z9" i="20" s="1"/>
  <c r="AA9" i="20" s="1"/>
  <c r="AB9" i="20" s="1"/>
  <c r="AC9" i="20" s="1"/>
  <c r="AD9" i="20" s="1"/>
  <c r="AE9" i="20" s="1"/>
  <c r="AF9" i="20" s="1"/>
  <c r="AG9" i="20" s="1"/>
  <c r="AH9" i="20" s="1"/>
  <c r="AI9" i="20" s="1"/>
  <c r="AJ9" i="20" s="1"/>
  <c r="AK9" i="20" s="1"/>
  <c r="AL9" i="20" s="1"/>
  <c r="AM9" i="20" s="1"/>
  <c r="AN9" i="20" s="1"/>
  <c r="AO9" i="20" s="1"/>
  <c r="AP9" i="20" s="1"/>
  <c r="AQ9" i="20" s="1"/>
  <c r="AR9" i="20" s="1"/>
  <c r="AS9" i="20" s="1"/>
  <c r="AT9" i="20" s="1"/>
  <c r="AU9" i="20" s="1"/>
  <c r="AV9" i="20" s="1"/>
  <c r="AW9" i="20" s="1"/>
  <c r="AX9" i="20" s="1"/>
  <c r="AY9" i="20" s="1"/>
  <c r="AZ9" i="20" s="1"/>
  <c r="BA9" i="20" s="1"/>
  <c r="BB9" i="20" s="1"/>
  <c r="BC9" i="20" s="1"/>
  <c r="BD9" i="20" s="1"/>
  <c r="BE9" i="20" s="1"/>
  <c r="BF9" i="20" s="1"/>
  <c r="BG9" i="20" s="1"/>
  <c r="BH9" i="20" s="1"/>
  <c r="BI9" i="20" s="1"/>
  <c r="BJ9" i="20" s="1"/>
  <c r="BK9" i="20" s="1"/>
  <c r="BL9" i="20" s="1"/>
  <c r="BM9" i="20" s="1"/>
  <c r="BN9" i="20" s="1"/>
  <c r="BO9" i="20" s="1"/>
  <c r="BP9" i="20" s="1"/>
  <c r="BQ9" i="20" s="1"/>
  <c r="BR9" i="20" s="1"/>
  <c r="BS9" i="20" s="1"/>
  <c r="I10" i="20"/>
  <c r="J10" i="20" s="1"/>
  <c r="K10" i="20" s="1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H3" i="20"/>
  <c r="D2" i="20"/>
  <c r="G2" i="20" s="1"/>
  <c r="E18" i="20" l="1" a="1"/>
  <c r="E18" i="20" s="1"/>
  <c r="AD23" i="29"/>
  <c r="AE19" i="29"/>
  <c r="F18" i="20" a="1"/>
  <c r="F18" i="20" s="1"/>
  <c r="E7" i="20" a="1"/>
  <c r="E7" i="20" s="1"/>
  <c r="F14" i="20" a="1"/>
  <c r="F14" i="20" s="1"/>
  <c r="E11" i="20" a="1"/>
  <c r="E11" i="20" s="1"/>
  <c r="AB15" i="27"/>
  <c r="E14" i="20" a="1"/>
  <c r="E14" i="20" s="1"/>
  <c r="F24" i="20" a="1"/>
  <c r="F24" i="20" s="1"/>
  <c r="AD2" i="27"/>
  <c r="AC1" i="27"/>
  <c r="AC13" i="27"/>
  <c r="AC9" i="27"/>
  <c r="AC5" i="27"/>
  <c r="AC12" i="27"/>
  <c r="AC8" i="27"/>
  <c r="AC4" i="27"/>
  <c r="AC14" i="27"/>
  <c r="AC10" i="27"/>
  <c r="AC6" i="27"/>
  <c r="AC7" i="27"/>
  <c r="AC3" i="27"/>
  <c r="AC11" i="27"/>
  <c r="F7" i="20" a="1"/>
  <c r="F7" i="20" s="1"/>
  <c r="F9" i="29" s="1"/>
  <c r="F13" i="20" a="1"/>
  <c r="F13" i="20" s="1"/>
  <c r="E19" i="20" a="1"/>
  <c r="E19" i="20" s="1"/>
  <c r="F11" i="20" a="1"/>
  <c r="F11" i="20" s="1"/>
  <c r="E13" i="20" a="1"/>
  <c r="E13" i="20" s="1"/>
  <c r="E20" i="20" a="1"/>
  <c r="E20" i="20" s="1"/>
  <c r="E23" i="20" a="1"/>
  <c r="E23" i="20" s="1"/>
  <c r="F19" i="20" a="1"/>
  <c r="F19" i="20" s="1"/>
  <c r="F23" i="20" a="1"/>
  <c r="F23" i="20" s="1"/>
  <c r="E8" i="20" a="1"/>
  <c r="E8" i="20" s="1"/>
  <c r="E9" i="20" a="1"/>
  <c r="E9" i="20" s="1"/>
  <c r="I3" i="20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J4" i="20"/>
  <c r="K4" i="20" s="1"/>
  <c r="L4" i="20" s="1"/>
  <c r="M4" i="20" s="1"/>
  <c r="N4" i="20" s="1"/>
  <c r="O4" i="20" s="1"/>
  <c r="F22" i="20" a="1"/>
  <c r="F22" i="20" s="1"/>
  <c r="F8" i="20" a="1"/>
  <c r="F8" i="20" s="1"/>
  <c r="E12" i="20" a="1"/>
  <c r="E12" i="20" s="1"/>
  <c r="E24" i="20" a="1"/>
  <c r="E24" i="20" s="1"/>
  <c r="E27" i="20" a="1"/>
  <c r="E27" i="20" s="1"/>
  <c r="F21" i="20" a="1"/>
  <c r="F21" i="20" s="1"/>
  <c r="F16" i="20" a="1"/>
  <c r="F16" i="20" s="1"/>
  <c r="F26" i="20" a="1"/>
  <c r="F26" i="20" s="1"/>
  <c r="E22" i="20" a="1"/>
  <c r="E22" i="20" s="1"/>
  <c r="F10" i="20" a="1"/>
  <c r="F10" i="20" s="1"/>
  <c r="F5" i="20" a="1"/>
  <c r="F5" i="20" s="1"/>
  <c r="F5" i="29" s="1"/>
  <c r="G5" i="29" s="1"/>
  <c r="H5" i="29" s="1"/>
  <c r="I5" i="29" s="1"/>
  <c r="J5" i="29" s="1"/>
  <c r="K5" i="29" s="1"/>
  <c r="L5" i="29" s="1"/>
  <c r="M5" i="29" s="1"/>
  <c r="N5" i="29" s="1"/>
  <c r="O5" i="29" s="1"/>
  <c r="P5" i="29" s="1"/>
  <c r="Q5" i="29" s="1"/>
  <c r="R5" i="29" s="1"/>
  <c r="S5" i="29" s="1"/>
  <c r="T5" i="29" s="1"/>
  <c r="U5" i="29" s="1"/>
  <c r="V5" i="29" s="1"/>
  <c r="F17" i="20" a="1"/>
  <c r="F17" i="20" s="1"/>
  <c r="F12" i="20" a="1"/>
  <c r="F12" i="20" s="1"/>
  <c r="F27" i="20" a="1"/>
  <c r="F27" i="20" s="1"/>
  <c r="E15" i="20" a="1"/>
  <c r="E15" i="20" s="1"/>
  <c r="F25" i="20" a="1"/>
  <c r="F25" i="20" s="1"/>
  <c r="E21" i="20" a="1"/>
  <c r="E21" i="20" s="1"/>
  <c r="E16" i="20" a="1"/>
  <c r="E16" i="20" s="1"/>
  <c r="E26" i="20" a="1"/>
  <c r="E26" i="20" s="1"/>
  <c r="E10" i="20" a="1"/>
  <c r="E10" i="20" s="1"/>
  <c r="E5" i="20" a="1"/>
  <c r="E5" i="20" s="1"/>
  <c r="E17" i="20" a="1"/>
  <c r="E17" i="20" s="1"/>
  <c r="F20" i="20" a="1"/>
  <c r="F20" i="20" s="1"/>
  <c r="F15" i="20" a="1"/>
  <c r="F15" i="20" s="1"/>
  <c r="E25" i="20" a="1"/>
  <c r="E25" i="20" s="1"/>
  <c r="F9" i="20" a="1"/>
  <c r="F9" i="20" s="1"/>
  <c r="J6" i="20"/>
  <c r="K6" i="20" s="1"/>
  <c r="L6" i="20" s="1"/>
  <c r="M6" i="20" s="1"/>
  <c r="N6" i="20" s="1"/>
  <c r="O6" i="20" s="1"/>
  <c r="P6" i="20" s="1"/>
  <c r="Q6" i="20" s="1"/>
  <c r="R6" i="20" s="1"/>
  <c r="S6" i="20" s="1"/>
  <c r="AF19" i="29" l="1"/>
  <c r="AE23" i="29"/>
  <c r="G9" i="29"/>
  <c r="F13" i="29"/>
  <c r="E4" i="20" a="1"/>
  <c r="E4" i="20" s="1"/>
  <c r="AC15" i="27"/>
  <c r="AD1" i="27"/>
  <c r="AE2" i="27"/>
  <c r="AD13" i="27"/>
  <c r="AD9" i="27"/>
  <c r="AD5" i="27"/>
  <c r="AD12" i="27"/>
  <c r="AD8" i="27"/>
  <c r="AD4" i="27"/>
  <c r="AD14" i="27"/>
  <c r="AD10" i="27"/>
  <c r="AD6" i="27"/>
  <c r="AD11" i="27"/>
  <c r="AD7" i="27"/>
  <c r="AD3" i="27"/>
  <c r="F3" i="20" a="1"/>
  <c r="F3" i="20" s="1"/>
  <c r="F1" i="29" s="1"/>
  <c r="G1" i="29" s="1"/>
  <c r="H1" i="29" s="1"/>
  <c r="I1" i="29" s="1"/>
  <c r="J1" i="29" s="1"/>
  <c r="K1" i="29" s="1"/>
  <c r="L1" i="29" s="1"/>
  <c r="M1" i="29" s="1"/>
  <c r="N1" i="29" s="1"/>
  <c r="O1" i="29" s="1"/>
  <c r="P1" i="29" s="1"/>
  <c r="Q1" i="29" s="1"/>
  <c r="R1" i="29" s="1"/>
  <c r="F6" i="20" a="1"/>
  <c r="F6" i="20" s="1"/>
  <c r="E3" i="20" a="1"/>
  <c r="E3" i="20" s="1"/>
  <c r="E6" i="20" a="1"/>
  <c r="E6" i="20" s="1"/>
  <c r="F4" i="20" a="1"/>
  <c r="F4" i="20" s="1"/>
  <c r="H2" i="20"/>
  <c r="E2" i="20" s="1" a="1"/>
  <c r="E2" i="20" s="1"/>
  <c r="AF23" i="29" l="1"/>
  <c r="AG19" i="29"/>
  <c r="H9" i="29"/>
  <c r="G13" i="29"/>
  <c r="AD15" i="27"/>
  <c r="AF2" i="27"/>
  <c r="AE1" i="27"/>
  <c r="AE13" i="27"/>
  <c r="AE9" i="27"/>
  <c r="AE5" i="27"/>
  <c r="AE12" i="27"/>
  <c r="AE8" i="27"/>
  <c r="AE4" i="27"/>
  <c r="AE14" i="27"/>
  <c r="AE10" i="27"/>
  <c r="AE6" i="27"/>
  <c r="AE11" i="27"/>
  <c r="AE3" i="27"/>
  <c r="AE7" i="27"/>
  <c r="U2" i="16"/>
  <c r="F2" i="20" a="1"/>
  <c r="F2" i="20" s="1"/>
  <c r="V2" i="16" s="1"/>
  <c r="U12" i="16"/>
  <c r="U3" i="16"/>
  <c r="U6" i="16"/>
  <c r="U16" i="16"/>
  <c r="U26" i="16"/>
  <c r="U10" i="16"/>
  <c r="V3" i="16"/>
  <c r="V7" i="16"/>
  <c r="V15" i="16"/>
  <c r="V19" i="16"/>
  <c r="V23" i="16"/>
  <c r="V6" i="16"/>
  <c r="V10" i="16"/>
  <c r="V18" i="16"/>
  <c r="V22" i="16"/>
  <c r="V26" i="16"/>
  <c r="V8" i="16"/>
  <c r="V12" i="16"/>
  <c r="V16" i="16"/>
  <c r="V24" i="16"/>
  <c r="V5" i="16"/>
  <c r="V9" i="16"/>
  <c r="V17" i="16"/>
  <c r="V21" i="16"/>
  <c r="V25" i="16"/>
  <c r="U19" i="16"/>
  <c r="U17" i="16"/>
  <c r="U24" i="16"/>
  <c r="U15" i="16"/>
  <c r="U13" i="16"/>
  <c r="U20" i="16"/>
  <c r="U14" i="16"/>
  <c r="U27" i="16"/>
  <c r="V14" i="16"/>
  <c r="V20" i="16"/>
  <c r="V4" i="16"/>
  <c r="V27" i="16"/>
  <c r="V11" i="16"/>
  <c r="V13" i="16"/>
  <c r="U5" i="16"/>
  <c r="U9" i="16"/>
  <c r="U21" i="16"/>
  <c r="U25" i="16"/>
  <c r="U23" i="16"/>
  <c r="U8" i="16"/>
  <c r="U18" i="16"/>
  <c r="U22" i="16"/>
  <c r="U7" i="16"/>
  <c r="U11" i="16"/>
  <c r="U4" i="16"/>
  <c r="I25" i="9" l="1"/>
  <c r="J25" i="9" s="1"/>
  <c r="AH19" i="29"/>
  <c r="AG23" i="29"/>
  <c r="I9" i="29"/>
  <c r="H13" i="29"/>
  <c r="AE15" i="27"/>
  <c r="AG2" i="27"/>
  <c r="AF1" i="27"/>
  <c r="AF13" i="27"/>
  <c r="AF9" i="27"/>
  <c r="AF5" i="27"/>
  <c r="AF12" i="27"/>
  <c r="AF8" i="27"/>
  <c r="AF4" i="27"/>
  <c r="AF10" i="27"/>
  <c r="AF6" i="27"/>
  <c r="AF3" i="27"/>
  <c r="AF11" i="27"/>
  <c r="AF14" i="27"/>
  <c r="AF7" i="27"/>
  <c r="T27" i="16"/>
  <c r="T26" i="16"/>
  <c r="L26" i="16"/>
  <c r="T25" i="16"/>
  <c r="L25" i="16"/>
  <c r="T24" i="16"/>
  <c r="T23" i="16"/>
  <c r="M23" i="16"/>
  <c r="T22" i="16"/>
  <c r="M22" i="16"/>
  <c r="T21" i="16"/>
  <c r="M21" i="16"/>
  <c r="T20" i="16"/>
  <c r="M20" i="16"/>
  <c r="T19" i="16"/>
  <c r="M19" i="16"/>
  <c r="T18" i="16"/>
  <c r="M18" i="16"/>
  <c r="T17" i="16"/>
  <c r="M17" i="16"/>
  <c r="T16" i="16"/>
  <c r="M16" i="16"/>
  <c r="T15" i="16"/>
  <c r="M15" i="16"/>
  <c r="AM14" i="16"/>
  <c r="AL14" i="16"/>
  <c r="AK14" i="16"/>
  <c r="T14" i="16"/>
  <c r="AM13" i="16"/>
  <c r="AL13" i="16"/>
  <c r="AK13" i="16"/>
  <c r="T13" i="16"/>
  <c r="M13" i="16"/>
  <c r="AM12" i="16"/>
  <c r="AL12" i="16"/>
  <c r="AK12" i="16"/>
  <c r="T12" i="16"/>
  <c r="M12" i="16"/>
  <c r="AM11" i="16"/>
  <c r="AL11" i="16"/>
  <c r="AK11" i="16"/>
  <c r="T11" i="16"/>
  <c r="M11" i="16"/>
  <c r="AM10" i="16"/>
  <c r="AL10" i="16"/>
  <c r="AK10" i="16"/>
  <c r="T10" i="16"/>
  <c r="AM9" i="16"/>
  <c r="AL9" i="16"/>
  <c r="AK9" i="16"/>
  <c r="T9" i="16"/>
  <c r="L25" i="9" l="1"/>
  <c r="O25" i="9" s="1"/>
  <c r="O27" i="9" s="1"/>
  <c r="Q25" i="9"/>
  <c r="AH23" i="29"/>
  <c r="AI19" i="29"/>
  <c r="J9" i="29"/>
  <c r="I13" i="29"/>
  <c r="AF15" i="27"/>
  <c r="AH2" i="27"/>
  <c r="AG1" i="27"/>
  <c r="AG13" i="27"/>
  <c r="AG9" i="27"/>
  <c r="AG5" i="27"/>
  <c r="AG12" i="27"/>
  <c r="AG8" i="27"/>
  <c r="AG4" i="27"/>
  <c r="AG14" i="27"/>
  <c r="AG10" i="27"/>
  <c r="AG6" i="27"/>
  <c r="AG3" i="27"/>
  <c r="AG7" i="27"/>
  <c r="AG11" i="27"/>
  <c r="M27" i="16"/>
  <c r="L27" i="16"/>
  <c r="M24" i="16"/>
  <c r="L24" i="16"/>
  <c r="M25" i="16"/>
  <c r="S25" i="16"/>
  <c r="M26" i="16"/>
  <c r="P11" i="16"/>
  <c r="P13" i="16"/>
  <c r="S10" i="16"/>
  <c r="L10" i="16"/>
  <c r="M10" i="16"/>
  <c r="L15" i="16"/>
  <c r="N15" i="16" s="1"/>
  <c r="L16" i="16"/>
  <c r="N16" i="16" s="1"/>
  <c r="L17" i="16"/>
  <c r="N17" i="16" s="1"/>
  <c r="L18" i="16"/>
  <c r="N18" i="16" s="1"/>
  <c r="L19" i="16"/>
  <c r="N19" i="16" s="1"/>
  <c r="L20" i="16"/>
  <c r="N20" i="16" s="1"/>
  <c r="L21" i="16"/>
  <c r="N21" i="16" s="1"/>
  <c r="L22" i="16"/>
  <c r="N22" i="16" s="1"/>
  <c r="L23" i="16"/>
  <c r="N23" i="16" s="1"/>
  <c r="L14" i="16"/>
  <c r="M14" i="16"/>
  <c r="P10" i="16"/>
  <c r="P12" i="16"/>
  <c r="P14" i="16"/>
  <c r="L11" i="16"/>
  <c r="N11" i="16" s="1"/>
  <c r="L13" i="16"/>
  <c r="N13" i="16" s="1"/>
  <c r="P15" i="16"/>
  <c r="P16" i="16"/>
  <c r="P17" i="16"/>
  <c r="P18" i="16"/>
  <c r="P19" i="16"/>
  <c r="P20" i="16"/>
  <c r="P21" i="16"/>
  <c r="P22" i="16"/>
  <c r="P23" i="16"/>
  <c r="P24" i="16"/>
  <c r="P25" i="16"/>
  <c r="P26" i="16"/>
  <c r="P27" i="16"/>
  <c r="L12" i="16"/>
  <c r="N12" i="16" s="1"/>
  <c r="AM8" i="16"/>
  <c r="AL8" i="16"/>
  <c r="AK8" i="16"/>
  <c r="T8" i="16"/>
  <c r="N25" i="9" l="1"/>
  <c r="N27" i="9" s="1"/>
  <c r="K30" i="9" s="1"/>
  <c r="L27" i="9"/>
  <c r="AJ19" i="29"/>
  <c r="AI23" i="29"/>
  <c r="K9" i="29"/>
  <c r="J13" i="29"/>
  <c r="AH1" i="27"/>
  <c r="AI2" i="27"/>
  <c r="AH13" i="27"/>
  <c r="AH9" i="27"/>
  <c r="AH5" i="27"/>
  <c r="AH12" i="27"/>
  <c r="AH8" i="27"/>
  <c r="AH4" i="27"/>
  <c r="AH14" i="27"/>
  <c r="AH10" i="27"/>
  <c r="AH6" i="27"/>
  <c r="AH11" i="27"/>
  <c r="AH7" i="27"/>
  <c r="AH3" i="27"/>
  <c r="AG15" i="27"/>
  <c r="N27" i="16"/>
  <c r="N24" i="16"/>
  <c r="N25" i="16"/>
  <c r="N26" i="16"/>
  <c r="N10" i="16"/>
  <c r="N14" i="16"/>
  <c r="AM7" i="16"/>
  <c r="AL7" i="16"/>
  <c r="AK7" i="16"/>
  <c r="T7" i="16"/>
  <c r="Q27" i="9" l="1"/>
  <c r="I30" i="9"/>
  <c r="M27" i="9"/>
  <c r="J30" i="9" s="1"/>
  <c r="P27" i="9"/>
  <c r="I27" i="9"/>
  <c r="J27" i="9"/>
  <c r="H30" i="9" s="1"/>
  <c r="G27" i="9"/>
  <c r="G30" i="9" s="1"/>
  <c r="H27" i="9"/>
  <c r="AJ23" i="29"/>
  <c r="AK19" i="29"/>
  <c r="L9" i="29"/>
  <c r="K13" i="29"/>
  <c r="AH15" i="27"/>
  <c r="AI1" i="27"/>
  <c r="AJ2" i="27"/>
  <c r="AI13" i="27"/>
  <c r="AI9" i="27"/>
  <c r="AI5" i="27"/>
  <c r="AI12" i="27"/>
  <c r="AI8" i="27"/>
  <c r="AI4" i="27"/>
  <c r="AI14" i="27"/>
  <c r="AI10" i="27"/>
  <c r="AI6" i="27"/>
  <c r="AI11" i="27"/>
  <c r="AI3" i="27"/>
  <c r="AI7" i="27"/>
  <c r="AM6" i="16"/>
  <c r="AL6" i="16"/>
  <c r="AK6" i="16"/>
  <c r="T6" i="16"/>
  <c r="AL19" i="29" l="1"/>
  <c r="AK23" i="29"/>
  <c r="M9" i="29"/>
  <c r="L13" i="29"/>
  <c r="AJ1" i="27"/>
  <c r="AK2" i="27"/>
  <c r="AJ13" i="27"/>
  <c r="AJ9" i="27"/>
  <c r="AJ5" i="27"/>
  <c r="AJ12" i="27"/>
  <c r="AJ8" i="27"/>
  <c r="AJ4" i="27"/>
  <c r="AJ14" i="27"/>
  <c r="AJ10" i="27"/>
  <c r="AJ6" i="27"/>
  <c r="AJ3" i="27"/>
  <c r="AJ11" i="27"/>
  <c r="AJ7" i="27"/>
  <c r="AI15" i="27"/>
  <c r="AM5" i="16"/>
  <c r="AL5" i="16"/>
  <c r="AK5" i="16"/>
  <c r="T5" i="16"/>
  <c r="AL23" i="29" l="1"/>
  <c r="AM19" i="29"/>
  <c r="N9" i="29"/>
  <c r="M13" i="29"/>
  <c r="AJ15" i="27"/>
  <c r="AL2" i="27"/>
  <c r="AK1" i="27"/>
  <c r="AK13" i="27"/>
  <c r="AK14" i="27"/>
  <c r="AK9" i="27"/>
  <c r="AK5" i="27"/>
  <c r="AK12" i="27"/>
  <c r="AK8" i="27"/>
  <c r="AK4" i="27"/>
  <c r="AK10" i="27"/>
  <c r="AK6" i="27"/>
  <c r="AK7" i="27"/>
  <c r="AK3" i="27"/>
  <c r="AK11" i="27"/>
  <c r="P6" i="16"/>
  <c r="AM4" i="16"/>
  <c r="AL4" i="16"/>
  <c r="AK4" i="16"/>
  <c r="T4" i="16"/>
  <c r="AN19" i="29" l="1"/>
  <c r="AM23" i="29"/>
  <c r="O9" i="29"/>
  <c r="N13" i="29"/>
  <c r="AK15" i="27"/>
  <c r="AL1" i="27"/>
  <c r="AM2" i="27"/>
  <c r="AL13" i="27"/>
  <c r="AL9" i="27"/>
  <c r="AL5" i="27"/>
  <c r="AL14" i="27"/>
  <c r="AL10" i="27"/>
  <c r="AL6" i="27"/>
  <c r="AL8" i="27"/>
  <c r="AL7" i="27"/>
  <c r="AL11" i="27"/>
  <c r="AL3" i="27"/>
  <c r="AL12" i="27"/>
  <c r="AL4" i="27"/>
  <c r="AM3" i="16"/>
  <c r="AL3" i="16"/>
  <c r="AK3" i="16"/>
  <c r="T3" i="16"/>
  <c r="AN23" i="29" l="1"/>
  <c r="AO19" i="29"/>
  <c r="P9" i="29"/>
  <c r="O13" i="29"/>
  <c r="AL15" i="27"/>
  <c r="AN2" i="27"/>
  <c r="AM1" i="27"/>
  <c r="AM13" i="27"/>
  <c r="AM9" i="27"/>
  <c r="AM5" i="27"/>
  <c r="AM14" i="27"/>
  <c r="AM10" i="27"/>
  <c r="AM6" i="27"/>
  <c r="AM12" i="27"/>
  <c r="AM4" i="27"/>
  <c r="AM11" i="27"/>
  <c r="AM3" i="27"/>
  <c r="AM7" i="27"/>
  <c r="AM8" i="27"/>
  <c r="P4" i="16"/>
  <c r="T2" i="16"/>
  <c r="AP19" i="29" l="1"/>
  <c r="AO23" i="29"/>
  <c r="Q9" i="29"/>
  <c r="P13" i="29"/>
  <c r="AO2" i="27"/>
  <c r="AN1" i="27"/>
  <c r="AN13" i="27"/>
  <c r="AN9" i="27"/>
  <c r="AN5" i="27"/>
  <c r="AN14" i="27"/>
  <c r="AN10" i="27"/>
  <c r="AN6" i="27"/>
  <c r="AN8" i="27"/>
  <c r="AN7" i="27"/>
  <c r="AN11" i="27"/>
  <c r="AN3" i="27"/>
  <c r="AN12" i="27"/>
  <c r="AN4" i="27"/>
  <c r="AM15" i="27"/>
  <c r="S14" i="16"/>
  <c r="S12" i="16"/>
  <c r="S19" i="16"/>
  <c r="S18" i="16"/>
  <c r="S17" i="16"/>
  <c r="S16" i="16"/>
  <c r="S15" i="16"/>
  <c r="S24" i="16"/>
  <c r="S20" i="16"/>
  <c r="S23" i="16"/>
  <c r="S22" i="16"/>
  <c r="S21" i="16"/>
  <c r="S13" i="16"/>
  <c r="S11" i="16"/>
  <c r="S27" i="16"/>
  <c r="S26" i="16"/>
  <c r="AP23" i="29" l="1"/>
  <c r="AQ19" i="29"/>
  <c r="R9" i="29"/>
  <c r="Q13" i="29"/>
  <c r="AN15" i="27"/>
  <c r="AP2" i="27"/>
  <c r="AO1" i="27"/>
  <c r="AO13" i="27"/>
  <c r="AO9" i="27"/>
  <c r="AO5" i="27"/>
  <c r="AO14" i="27"/>
  <c r="AO10" i="27"/>
  <c r="AO6" i="27"/>
  <c r="AO12" i="27"/>
  <c r="AO4" i="27"/>
  <c r="AO11" i="27"/>
  <c r="AO3" i="27"/>
  <c r="AO7" i="27"/>
  <c r="AO8" i="27"/>
  <c r="O35" i="12"/>
  <c r="M35" i="12"/>
  <c r="L35" i="12"/>
  <c r="K35" i="12"/>
  <c r="J35" i="12"/>
  <c r="I35" i="12"/>
  <c r="H35" i="12"/>
  <c r="G35" i="12"/>
  <c r="F35" i="12"/>
  <c r="E35" i="12"/>
  <c r="D35" i="12"/>
  <c r="C35" i="12"/>
  <c r="B35" i="12"/>
  <c r="O34" i="12"/>
  <c r="M34" i="12"/>
  <c r="L34" i="12"/>
  <c r="K34" i="12"/>
  <c r="J34" i="12"/>
  <c r="I34" i="12"/>
  <c r="H34" i="12"/>
  <c r="G34" i="12"/>
  <c r="F34" i="12"/>
  <c r="E34" i="12"/>
  <c r="D34" i="12"/>
  <c r="C34" i="12"/>
  <c r="B34" i="12"/>
  <c r="O33" i="12"/>
  <c r="M33" i="12"/>
  <c r="L33" i="12"/>
  <c r="K33" i="12"/>
  <c r="J33" i="12"/>
  <c r="I33" i="12"/>
  <c r="H33" i="12"/>
  <c r="G33" i="12"/>
  <c r="F33" i="12"/>
  <c r="E33" i="12"/>
  <c r="D33" i="12"/>
  <c r="C33" i="12"/>
  <c r="B33" i="12"/>
  <c r="O32" i="12"/>
  <c r="M32" i="12"/>
  <c r="L32" i="12"/>
  <c r="K32" i="12"/>
  <c r="J32" i="12"/>
  <c r="I32" i="12"/>
  <c r="H32" i="12"/>
  <c r="G32" i="12"/>
  <c r="F32" i="12"/>
  <c r="E32" i="12"/>
  <c r="D32" i="12"/>
  <c r="C32" i="12"/>
  <c r="B32" i="12"/>
  <c r="O31" i="12"/>
  <c r="M31" i="12"/>
  <c r="L31" i="12"/>
  <c r="K31" i="12"/>
  <c r="J31" i="12"/>
  <c r="I31" i="12"/>
  <c r="H31" i="12"/>
  <c r="G31" i="12"/>
  <c r="F31" i="12"/>
  <c r="E31" i="12"/>
  <c r="D31" i="12"/>
  <c r="C31" i="12"/>
  <c r="B31" i="12"/>
  <c r="O30" i="12"/>
  <c r="M30" i="12"/>
  <c r="L30" i="12"/>
  <c r="K30" i="12"/>
  <c r="J30" i="12"/>
  <c r="I30" i="12"/>
  <c r="H30" i="12"/>
  <c r="G30" i="12"/>
  <c r="F30" i="12"/>
  <c r="E30" i="12"/>
  <c r="D30" i="12"/>
  <c r="C30" i="12"/>
  <c r="B30" i="12"/>
  <c r="O27" i="12"/>
  <c r="M27" i="12"/>
  <c r="L27" i="12"/>
  <c r="K27" i="12"/>
  <c r="J27" i="12"/>
  <c r="I27" i="12"/>
  <c r="H27" i="12"/>
  <c r="G27" i="12"/>
  <c r="F27" i="12"/>
  <c r="E27" i="12"/>
  <c r="D27" i="12"/>
  <c r="C27" i="12"/>
  <c r="B27" i="12"/>
  <c r="O26" i="12"/>
  <c r="M26" i="12"/>
  <c r="L26" i="12"/>
  <c r="K26" i="12"/>
  <c r="J26" i="12"/>
  <c r="I26" i="12"/>
  <c r="H26" i="12"/>
  <c r="G26" i="12"/>
  <c r="F26" i="12"/>
  <c r="E26" i="12"/>
  <c r="D26" i="12"/>
  <c r="C26" i="12"/>
  <c r="B26" i="12"/>
  <c r="O25" i="12"/>
  <c r="M25" i="12"/>
  <c r="L25" i="12"/>
  <c r="K25" i="12"/>
  <c r="J25" i="12"/>
  <c r="I25" i="12"/>
  <c r="H25" i="12"/>
  <c r="G25" i="12"/>
  <c r="F25" i="12"/>
  <c r="E25" i="12"/>
  <c r="D25" i="12"/>
  <c r="C25" i="12"/>
  <c r="B25" i="12"/>
  <c r="O24" i="12"/>
  <c r="M24" i="12"/>
  <c r="L24" i="12"/>
  <c r="K24" i="12"/>
  <c r="J24" i="12"/>
  <c r="I24" i="12"/>
  <c r="H24" i="12"/>
  <c r="G24" i="12"/>
  <c r="F24" i="12"/>
  <c r="E24" i="12"/>
  <c r="D24" i="12"/>
  <c r="C24" i="12"/>
  <c r="B24" i="12"/>
  <c r="O23" i="12"/>
  <c r="M23" i="12"/>
  <c r="L23" i="12"/>
  <c r="K23" i="12"/>
  <c r="J23" i="12"/>
  <c r="I23" i="12"/>
  <c r="H23" i="12"/>
  <c r="G23" i="12"/>
  <c r="F23" i="12"/>
  <c r="E23" i="12"/>
  <c r="D23" i="12"/>
  <c r="C23" i="12"/>
  <c r="B23" i="12"/>
  <c r="O22" i="12"/>
  <c r="M22" i="12"/>
  <c r="L22" i="12"/>
  <c r="K22" i="12"/>
  <c r="J22" i="12"/>
  <c r="I22" i="12"/>
  <c r="H22" i="12"/>
  <c r="G22" i="12"/>
  <c r="F22" i="12"/>
  <c r="E22" i="12"/>
  <c r="D22" i="12"/>
  <c r="C22" i="12"/>
  <c r="B22" i="12"/>
  <c r="O21" i="12"/>
  <c r="M21" i="12"/>
  <c r="L21" i="12"/>
  <c r="K21" i="12"/>
  <c r="J21" i="12"/>
  <c r="I21" i="12"/>
  <c r="H21" i="12"/>
  <c r="G21" i="12"/>
  <c r="F21" i="12"/>
  <c r="E21" i="12"/>
  <c r="D21" i="12"/>
  <c r="C21" i="12"/>
  <c r="B21" i="12"/>
  <c r="O20" i="12"/>
  <c r="M20" i="12"/>
  <c r="L20" i="12"/>
  <c r="K20" i="12"/>
  <c r="J20" i="12"/>
  <c r="I20" i="12"/>
  <c r="H20" i="12"/>
  <c r="G20" i="12"/>
  <c r="F20" i="12"/>
  <c r="E20" i="12"/>
  <c r="D20" i="12"/>
  <c r="C20" i="12"/>
  <c r="B20" i="12"/>
  <c r="O17" i="12"/>
  <c r="M17" i="12"/>
  <c r="L17" i="12"/>
  <c r="K17" i="12"/>
  <c r="J17" i="12"/>
  <c r="I17" i="12"/>
  <c r="H17" i="12"/>
  <c r="G17" i="12"/>
  <c r="F17" i="12"/>
  <c r="E17" i="12"/>
  <c r="D17" i="12"/>
  <c r="C17" i="12"/>
  <c r="B17" i="12"/>
  <c r="O16" i="12"/>
  <c r="M16" i="12"/>
  <c r="L16" i="12"/>
  <c r="K16" i="12"/>
  <c r="J16" i="12"/>
  <c r="I16" i="12"/>
  <c r="H16" i="12"/>
  <c r="G16" i="12"/>
  <c r="F16" i="12"/>
  <c r="E16" i="12"/>
  <c r="D16" i="12"/>
  <c r="C16" i="12"/>
  <c r="B16" i="12"/>
  <c r="O15" i="12"/>
  <c r="M15" i="12"/>
  <c r="L15" i="12"/>
  <c r="K15" i="12"/>
  <c r="J15" i="12"/>
  <c r="I15" i="12"/>
  <c r="H15" i="12"/>
  <c r="G15" i="12"/>
  <c r="F15" i="12"/>
  <c r="E15" i="12"/>
  <c r="D15" i="12"/>
  <c r="C15" i="12"/>
  <c r="B15" i="12"/>
  <c r="O14" i="12"/>
  <c r="M14" i="12"/>
  <c r="L14" i="12"/>
  <c r="K14" i="12"/>
  <c r="J14" i="12"/>
  <c r="I14" i="12"/>
  <c r="H14" i="12"/>
  <c r="G14" i="12"/>
  <c r="F14" i="12"/>
  <c r="E14" i="12"/>
  <c r="D14" i="12"/>
  <c r="C14" i="12"/>
  <c r="B14" i="12"/>
  <c r="O13" i="12"/>
  <c r="M13" i="12"/>
  <c r="L13" i="12"/>
  <c r="K13" i="12"/>
  <c r="J13" i="12"/>
  <c r="I13" i="12"/>
  <c r="H13" i="12"/>
  <c r="G13" i="12"/>
  <c r="F13" i="12"/>
  <c r="E13" i="12"/>
  <c r="D13" i="12"/>
  <c r="C13" i="12"/>
  <c r="B13" i="12"/>
  <c r="O12" i="12"/>
  <c r="M12" i="12"/>
  <c r="L12" i="12"/>
  <c r="K12" i="12"/>
  <c r="J12" i="12"/>
  <c r="I12" i="12"/>
  <c r="H12" i="12"/>
  <c r="G12" i="12"/>
  <c r="F12" i="12"/>
  <c r="E12" i="12"/>
  <c r="D12" i="12"/>
  <c r="C12" i="12"/>
  <c r="B12" i="12"/>
  <c r="O11" i="12"/>
  <c r="M11" i="12"/>
  <c r="L11" i="12"/>
  <c r="K11" i="12"/>
  <c r="J11" i="12"/>
  <c r="I11" i="12"/>
  <c r="H11" i="12"/>
  <c r="G11" i="12"/>
  <c r="F11" i="12"/>
  <c r="E11" i="12"/>
  <c r="D11" i="12"/>
  <c r="C11" i="12"/>
  <c r="B11" i="12"/>
  <c r="O10" i="12"/>
  <c r="M10" i="12"/>
  <c r="L10" i="12"/>
  <c r="K10" i="12"/>
  <c r="J10" i="12"/>
  <c r="I10" i="12"/>
  <c r="H10" i="12"/>
  <c r="G10" i="12"/>
  <c r="F10" i="12"/>
  <c r="E10" i="12"/>
  <c r="D10" i="12"/>
  <c r="C10" i="12"/>
  <c r="B10" i="12"/>
  <c r="O9" i="12"/>
  <c r="M9" i="12"/>
  <c r="L9" i="12"/>
  <c r="K9" i="12"/>
  <c r="J9" i="12"/>
  <c r="I9" i="12"/>
  <c r="H9" i="12"/>
  <c r="G9" i="12"/>
  <c r="F9" i="12"/>
  <c r="E9" i="12"/>
  <c r="D9" i="12"/>
  <c r="C9" i="12"/>
  <c r="B9" i="12"/>
  <c r="O8" i="12"/>
  <c r="M8" i="12"/>
  <c r="L8" i="12"/>
  <c r="K8" i="12"/>
  <c r="J8" i="12"/>
  <c r="I8" i="12"/>
  <c r="H8" i="12"/>
  <c r="G8" i="12"/>
  <c r="F8" i="12"/>
  <c r="E8" i="12"/>
  <c r="D8" i="12"/>
  <c r="C8" i="12"/>
  <c r="B8" i="12"/>
  <c r="O7" i="12"/>
  <c r="M7" i="12"/>
  <c r="L7" i="12"/>
  <c r="K7" i="12"/>
  <c r="J7" i="12"/>
  <c r="I7" i="12"/>
  <c r="H7" i="12"/>
  <c r="G7" i="12"/>
  <c r="F7" i="12"/>
  <c r="E7" i="12"/>
  <c r="D7" i="12"/>
  <c r="C7" i="12"/>
  <c r="B7" i="12"/>
  <c r="O6" i="12"/>
  <c r="M6" i="12"/>
  <c r="L6" i="12"/>
  <c r="K6" i="12"/>
  <c r="J6" i="12"/>
  <c r="I6" i="12"/>
  <c r="H6" i="12"/>
  <c r="G6" i="12"/>
  <c r="F6" i="12"/>
  <c r="E6" i="12"/>
  <c r="D6" i="12"/>
  <c r="C6" i="12"/>
  <c r="B6" i="12"/>
  <c r="AR19" i="29" l="1"/>
  <c r="AQ23" i="29"/>
  <c r="S9" i="29"/>
  <c r="R13" i="29"/>
  <c r="AP1" i="27"/>
  <c r="AQ2" i="27"/>
  <c r="AP13" i="27"/>
  <c r="AP9" i="27"/>
  <c r="AP5" i="27"/>
  <c r="AP14" i="27"/>
  <c r="AP10" i="27"/>
  <c r="AP6" i="27"/>
  <c r="AP8" i="27"/>
  <c r="AP7" i="27"/>
  <c r="AP11" i="27"/>
  <c r="AP3" i="27"/>
  <c r="AP4" i="27"/>
  <c r="AP12" i="27"/>
  <c r="AO15" i="27"/>
  <c r="F18" i="12"/>
  <c r="F36" i="12"/>
  <c r="G36" i="12"/>
  <c r="K36" i="12" s="1"/>
  <c r="G28" i="12"/>
  <c r="F28" i="12"/>
  <c r="G18" i="12"/>
  <c r="M18" i="12" s="1"/>
  <c r="B4" i="5"/>
  <c r="B8" i="8"/>
  <c r="B1" i="8"/>
  <c r="AR23" i="29" l="1"/>
  <c r="AS19" i="29"/>
  <c r="T9" i="29"/>
  <c r="S13" i="29"/>
  <c r="AP15" i="27"/>
  <c r="AR2" i="27"/>
  <c r="AQ1" i="27"/>
  <c r="AQ13" i="27"/>
  <c r="AQ9" i="27"/>
  <c r="AQ5" i="27"/>
  <c r="AQ14" i="27"/>
  <c r="AQ10" i="27"/>
  <c r="AQ6" i="27"/>
  <c r="AQ12" i="27"/>
  <c r="AQ4" i="27"/>
  <c r="AQ11" i="27"/>
  <c r="AQ3" i="27"/>
  <c r="AQ7" i="27"/>
  <c r="AQ8" i="27"/>
  <c r="M36" i="12"/>
  <c r="L36" i="12"/>
  <c r="G38" i="12"/>
  <c r="F38" i="12"/>
  <c r="L18" i="12"/>
  <c r="K18" i="12"/>
  <c r="B6" i="5"/>
  <c r="K11" i="16"/>
  <c r="K13" i="16"/>
  <c r="AT14" i="16"/>
  <c r="K14" i="16"/>
  <c r="AG12" i="16"/>
  <c r="AG13" i="16"/>
  <c r="AG11" i="16"/>
  <c r="AG9" i="16"/>
  <c r="K12" i="16"/>
  <c r="AG10" i="16"/>
  <c r="K10" i="16"/>
  <c r="K25" i="16"/>
  <c r="AT12" i="16"/>
  <c r="K19" i="16"/>
  <c r="K21" i="16"/>
  <c r="K27" i="16"/>
  <c r="AT13" i="16"/>
  <c r="AG8" i="16"/>
  <c r="K16" i="16"/>
  <c r="K15" i="16"/>
  <c r="K22" i="16"/>
  <c r="K18" i="16"/>
  <c r="K9" i="16"/>
  <c r="AT11" i="16"/>
  <c r="K20" i="16"/>
  <c r="K24" i="16"/>
  <c r="K23" i="16"/>
  <c r="K26" i="16"/>
  <c r="AT9" i="16"/>
  <c r="K17" i="16"/>
  <c r="AT10" i="16"/>
  <c r="AT8" i="16"/>
  <c r="AT7" i="16"/>
  <c r="K8" i="16"/>
  <c r="K7" i="16"/>
  <c r="AG7" i="16"/>
  <c r="AG6" i="16"/>
  <c r="AT6" i="16"/>
  <c r="AG5" i="16"/>
  <c r="AT5" i="16"/>
  <c r="K6" i="16"/>
  <c r="AG4" i="16"/>
  <c r="AT4" i="16"/>
  <c r="K5" i="16"/>
  <c r="AG3" i="16"/>
  <c r="AT3" i="16"/>
  <c r="K4" i="16"/>
  <c r="K3" i="16"/>
  <c r="K2" i="16"/>
  <c r="AT19" i="29" l="1"/>
  <c r="AS23" i="29"/>
  <c r="U9" i="29"/>
  <c r="T13" i="29"/>
  <c r="AR1" i="27"/>
  <c r="AS2" i="27"/>
  <c r="AR13" i="27"/>
  <c r="AR9" i="27"/>
  <c r="AR5" i="27"/>
  <c r="AR14" i="27"/>
  <c r="AR10" i="27"/>
  <c r="AR6" i="27"/>
  <c r="AR8" i="27"/>
  <c r="AR7" i="27"/>
  <c r="AR11" i="27"/>
  <c r="AR3" i="27"/>
  <c r="AR12" i="27"/>
  <c r="AR4" i="27"/>
  <c r="AQ15" i="27"/>
  <c r="N15" i="12"/>
  <c r="N33" i="12"/>
  <c r="N24" i="12"/>
  <c r="N11" i="12"/>
  <c r="N7" i="12"/>
  <c r="N16" i="12"/>
  <c r="N20" i="12"/>
  <c r="N12" i="12"/>
  <c r="N25" i="12"/>
  <c r="N21" i="12"/>
  <c r="N8" i="12"/>
  <c r="N34" i="12"/>
  <c r="N10" i="12"/>
  <c r="N27" i="12"/>
  <c r="N17" i="12"/>
  <c r="N30" i="12"/>
  <c r="N13" i="12"/>
  <c r="N9" i="12"/>
  <c r="N35" i="12"/>
  <c r="N22" i="12"/>
  <c r="N6" i="12"/>
  <c r="N23" i="12"/>
  <c r="N32" i="12"/>
  <c r="N26" i="12"/>
  <c r="N31" i="12"/>
  <c r="N14" i="12"/>
  <c r="AT23" i="29" l="1"/>
  <c r="AU19" i="29"/>
  <c r="V9" i="29"/>
  <c r="U13" i="29"/>
  <c r="N28" i="12"/>
  <c r="AR15" i="27"/>
  <c r="AT2" i="27"/>
  <c r="AS1" i="27"/>
  <c r="AS13" i="27"/>
  <c r="AS9" i="27"/>
  <c r="AS5" i="27"/>
  <c r="AS14" i="27"/>
  <c r="AS10" i="27"/>
  <c r="AS6" i="27"/>
  <c r="AS12" i="27"/>
  <c r="AS4" i="27"/>
  <c r="AS11" i="27"/>
  <c r="AS3" i="27"/>
  <c r="AS7" i="27"/>
  <c r="AS8" i="27"/>
  <c r="N36" i="12"/>
  <c r="N18" i="12"/>
  <c r="AV19" i="29" l="1"/>
  <c r="AU23" i="29"/>
  <c r="V13" i="29"/>
  <c r="W9" i="29"/>
  <c r="AS15" i="27"/>
  <c r="AT1" i="27"/>
  <c r="AU2" i="27"/>
  <c r="AT13" i="27"/>
  <c r="AT9" i="27"/>
  <c r="AT5" i="27"/>
  <c r="AT14" i="27"/>
  <c r="AT10" i="27"/>
  <c r="AT6" i="27"/>
  <c r="AT8" i="27"/>
  <c r="AT7" i="27"/>
  <c r="AT11" i="27"/>
  <c r="AT3" i="27"/>
  <c r="AT12" i="27"/>
  <c r="AT4" i="27"/>
  <c r="AV23" i="29" l="1"/>
  <c r="AW19" i="29"/>
  <c r="W13" i="29"/>
  <c r="X9" i="29"/>
  <c r="AT15" i="27"/>
  <c r="AV2" i="27"/>
  <c r="AU1" i="27"/>
  <c r="AU13" i="27"/>
  <c r="AU9" i="27"/>
  <c r="AU5" i="27"/>
  <c r="AU14" i="27"/>
  <c r="AU10" i="27"/>
  <c r="AU6" i="27"/>
  <c r="AU12" i="27"/>
  <c r="AU4" i="27"/>
  <c r="AU11" i="27"/>
  <c r="AU3" i="27"/>
  <c r="AU7" i="27"/>
  <c r="AU8" i="27"/>
  <c r="AX19" i="29" l="1"/>
  <c r="AW23" i="29"/>
  <c r="X13" i="29"/>
  <c r="Y9" i="29"/>
  <c r="AW2" i="27"/>
  <c r="AV1" i="27"/>
  <c r="AV13" i="27"/>
  <c r="AV9" i="27"/>
  <c r="AV5" i="27"/>
  <c r="AV14" i="27"/>
  <c r="AV10" i="27"/>
  <c r="AV6" i="27"/>
  <c r="AV8" i="27"/>
  <c r="AV7" i="27"/>
  <c r="AV11" i="27"/>
  <c r="AV3" i="27"/>
  <c r="AV12" i="27"/>
  <c r="AV4" i="27"/>
  <c r="AU15" i="27"/>
  <c r="AX23" i="29" l="1"/>
  <c r="AY19" i="29"/>
  <c r="Y13" i="29"/>
  <c r="Z9" i="29"/>
  <c r="AV15" i="27"/>
  <c r="AX2" i="27"/>
  <c r="AW1" i="27"/>
  <c r="AW13" i="27"/>
  <c r="AW9" i="27"/>
  <c r="AW5" i="27"/>
  <c r="AW14" i="27"/>
  <c r="AW10" i="27"/>
  <c r="AW6" i="27"/>
  <c r="AW12" i="27"/>
  <c r="AW4" i="27"/>
  <c r="AW11" i="27"/>
  <c r="AW3" i="27"/>
  <c r="AW7" i="27"/>
  <c r="AW8" i="27"/>
  <c r="AZ19" i="29" l="1"/>
  <c r="AY23" i="29"/>
  <c r="Z13" i="29"/>
  <c r="AA9" i="29"/>
  <c r="AX1" i="27"/>
  <c r="AY2" i="27"/>
  <c r="AX13" i="27"/>
  <c r="AX9" i="27"/>
  <c r="AX5" i="27"/>
  <c r="AX14" i="27"/>
  <c r="AX10" i="27"/>
  <c r="AX6" i="27"/>
  <c r="AX8" i="27"/>
  <c r="AX7" i="27"/>
  <c r="AX11" i="27"/>
  <c r="AX3" i="27"/>
  <c r="AX4" i="27"/>
  <c r="AX12" i="27"/>
  <c r="AW15" i="27"/>
  <c r="AZ23" i="29" l="1"/>
  <c r="BA19" i="29"/>
  <c r="AA13" i="29"/>
  <c r="AB9" i="29"/>
  <c r="AX15" i="27"/>
  <c r="AZ2" i="27"/>
  <c r="AY1" i="27"/>
  <c r="AY14" i="27"/>
  <c r="AY13" i="27"/>
  <c r="AY9" i="27"/>
  <c r="AY5" i="27"/>
  <c r="AY10" i="27"/>
  <c r="AY6" i="27"/>
  <c r="AY12" i="27"/>
  <c r="AY4" i="27"/>
  <c r="AY11" i="27"/>
  <c r="AY3" i="27"/>
  <c r="AY7" i="27"/>
  <c r="AY8" i="27"/>
  <c r="BB19" i="29" l="1"/>
  <c r="BA23" i="29"/>
  <c r="AB13" i="29"/>
  <c r="AC9" i="29"/>
  <c r="AZ1" i="27"/>
  <c r="BA2" i="27"/>
  <c r="AZ14" i="27"/>
  <c r="AZ10" i="27"/>
  <c r="AZ6" i="27"/>
  <c r="AZ12" i="27"/>
  <c r="AZ7" i="27"/>
  <c r="AZ13" i="27"/>
  <c r="AZ8" i="27"/>
  <c r="AZ3" i="27"/>
  <c r="AZ11" i="27"/>
  <c r="AZ9" i="27"/>
  <c r="AZ4" i="27"/>
  <c r="AZ5" i="27"/>
  <c r="AY15" i="27"/>
  <c r="BB23" i="29" l="1"/>
  <c r="BC19" i="29"/>
  <c r="AC13" i="29"/>
  <c r="AD9" i="29"/>
  <c r="AZ15" i="27"/>
  <c r="BB2" i="27"/>
  <c r="BA1" i="27"/>
  <c r="BA14" i="27"/>
  <c r="BA10" i="27"/>
  <c r="BA6" i="27"/>
  <c r="BA11" i="27"/>
  <c r="BA5" i="27"/>
  <c r="BA12" i="27"/>
  <c r="BA7" i="27"/>
  <c r="BA9" i="27"/>
  <c r="BA8" i="27"/>
  <c r="BA13" i="27"/>
  <c r="BA3" i="27"/>
  <c r="BA4" i="27"/>
  <c r="BD19" i="29" l="1"/>
  <c r="BC23" i="29"/>
  <c r="AD13" i="29"/>
  <c r="AE9" i="29"/>
  <c r="BA15" i="27"/>
  <c r="BB1" i="27"/>
  <c r="BC2" i="27"/>
  <c r="BB14" i="27"/>
  <c r="BB10" i="27"/>
  <c r="BB6" i="27"/>
  <c r="BB11" i="27"/>
  <c r="BB9" i="27"/>
  <c r="BB4" i="27"/>
  <c r="BB12" i="27"/>
  <c r="BB5" i="27"/>
  <c r="BB8" i="27"/>
  <c r="BB7" i="27"/>
  <c r="BB13" i="27"/>
  <c r="BB3" i="27"/>
  <c r="BD23" i="29" l="1"/>
  <c r="BE19" i="29"/>
  <c r="AE13" i="29"/>
  <c r="AF9" i="29"/>
  <c r="BB15" i="27"/>
  <c r="BC1" i="27"/>
  <c r="BD2" i="27"/>
  <c r="BC14" i="27"/>
  <c r="BC10" i="27"/>
  <c r="BC6" i="27"/>
  <c r="BC11" i="27"/>
  <c r="BC7" i="27"/>
  <c r="BC3" i="27"/>
  <c r="BC13" i="27"/>
  <c r="BC5" i="27"/>
  <c r="BC8" i="27"/>
  <c r="BC12" i="27"/>
  <c r="BC9" i="27"/>
  <c r="BC4" i="27"/>
  <c r="BF19" i="29" l="1"/>
  <c r="BE23" i="29"/>
  <c r="AF13" i="29"/>
  <c r="AG9" i="29"/>
  <c r="BC15" i="27"/>
  <c r="BE2" i="27"/>
  <c r="BD1" i="27"/>
  <c r="BD14" i="27"/>
  <c r="BD10" i="27"/>
  <c r="BD6" i="27"/>
  <c r="BD11" i="27"/>
  <c r="BD7" i="27"/>
  <c r="BD3" i="27"/>
  <c r="BD9" i="27"/>
  <c r="BD12" i="27"/>
  <c r="BD4" i="27"/>
  <c r="BD13" i="27"/>
  <c r="BD5" i="27"/>
  <c r="BD8" i="27"/>
  <c r="BF23" i="29" l="1"/>
  <c r="BG19" i="29"/>
  <c r="AG13" i="29"/>
  <c r="AH9" i="29"/>
  <c r="AH13" i="29" s="1"/>
  <c r="BF2" i="27"/>
  <c r="BE1" i="27"/>
  <c r="BE14" i="27"/>
  <c r="BE10" i="27"/>
  <c r="BE6" i="27"/>
  <c r="BE11" i="27"/>
  <c r="BE7" i="27"/>
  <c r="BE3" i="27"/>
  <c r="BE13" i="27"/>
  <c r="BE5" i="27"/>
  <c r="BE8" i="27"/>
  <c r="BE4" i="27"/>
  <c r="BE9" i="27"/>
  <c r="BE12" i="27"/>
  <c r="BD15" i="27"/>
  <c r="BH19" i="29" l="1"/>
  <c r="BG23" i="29"/>
  <c r="P15" i="29" a="1"/>
  <c r="P15" i="29" s="1"/>
  <c r="B45" i="29" s="1"/>
  <c r="J15" i="29" a="1"/>
  <c r="J15" i="29" s="1"/>
  <c r="B39" i="29" s="1"/>
  <c r="E16" i="29" a="1"/>
  <c r="E16" i="29" s="1"/>
  <c r="C34" i="29" s="1"/>
  <c r="N16" i="29" a="1"/>
  <c r="N16" i="29" s="1"/>
  <c r="C43" i="29" s="1"/>
  <c r="G17" i="29" a="1"/>
  <c r="G17" i="29" s="1"/>
  <c r="D36" i="29" s="1"/>
  <c r="I16" i="29" a="1"/>
  <c r="I16" i="29" s="1"/>
  <c r="C38" i="29" s="1"/>
  <c r="K17" i="29" a="1"/>
  <c r="K17" i="29" s="1"/>
  <c r="D40" i="29" s="1"/>
  <c r="E15" i="29" a="1"/>
  <c r="E15" i="29" s="1"/>
  <c r="B34" i="29" s="1"/>
  <c r="B17" i="29" a="1"/>
  <c r="B17" i="29" s="1"/>
  <c r="D31" i="29" s="1"/>
  <c r="K16" i="29" a="1"/>
  <c r="K16" i="29" s="1"/>
  <c r="C40" i="29" s="1"/>
  <c r="I17" i="29" a="1"/>
  <c r="I17" i="29" s="1"/>
  <c r="D38" i="29" s="1"/>
  <c r="B15" i="29" a="1"/>
  <c r="B15" i="29" s="1"/>
  <c r="B31" i="29" s="1"/>
  <c r="P16" i="29" a="1"/>
  <c r="P16" i="29" s="1"/>
  <c r="C45" i="29" s="1"/>
  <c r="F16" i="29" a="1"/>
  <c r="F16" i="29" s="1"/>
  <c r="C35" i="29" s="1"/>
  <c r="O15" i="29" a="1"/>
  <c r="O15" i="29" s="1"/>
  <c r="B44" i="29" s="1"/>
  <c r="N17" i="29" a="1"/>
  <c r="N17" i="29" s="1"/>
  <c r="D43" i="29" s="1"/>
  <c r="J17" i="29" a="1"/>
  <c r="J17" i="29" s="1"/>
  <c r="D39" i="29" s="1"/>
  <c r="H16" i="29" a="1"/>
  <c r="H16" i="29" s="1"/>
  <c r="C37" i="29" s="1"/>
  <c r="K15" i="29" a="1"/>
  <c r="K15" i="29" s="1"/>
  <c r="B40" i="29" s="1"/>
  <c r="N15" i="29" a="1"/>
  <c r="N15" i="29" s="1"/>
  <c r="B43" i="29" s="1"/>
  <c r="L15" i="29" a="1"/>
  <c r="L15" i="29" s="1"/>
  <c r="B41" i="29" s="1"/>
  <c r="M17" i="29" a="1"/>
  <c r="M17" i="29" s="1"/>
  <c r="D42" i="29" s="1"/>
  <c r="F17" i="29" a="1"/>
  <c r="F17" i="29" s="1"/>
  <c r="D35" i="29" s="1"/>
  <c r="J16" i="29" a="1"/>
  <c r="J16" i="29" s="1"/>
  <c r="C39" i="29" s="1"/>
  <c r="O16" i="29" a="1"/>
  <c r="O16" i="29" s="1"/>
  <c r="C44" i="29" s="1"/>
  <c r="C16" i="29" a="1"/>
  <c r="C16" i="29" s="1"/>
  <c r="C32" i="29" s="1"/>
  <c r="G15" i="29" a="1"/>
  <c r="G15" i="29" s="1"/>
  <c r="B36" i="29" s="1"/>
  <c r="D16" i="29" a="1"/>
  <c r="D16" i="29" s="1"/>
  <c r="C33" i="29" s="1"/>
  <c r="L17" i="29" a="1"/>
  <c r="L17" i="29" s="1"/>
  <c r="D41" i="29" s="1"/>
  <c r="D15" i="29" a="1"/>
  <c r="D15" i="29" s="1"/>
  <c r="B33" i="29" s="1"/>
  <c r="P17" i="29" a="1"/>
  <c r="P17" i="29" s="1"/>
  <c r="D45" i="29" s="1"/>
  <c r="I15" i="29" a="1"/>
  <c r="I15" i="29" s="1"/>
  <c r="B38" i="29" s="1"/>
  <c r="F15" i="29" a="1"/>
  <c r="F15" i="29" s="1"/>
  <c r="B35" i="29" s="1"/>
  <c r="H17" i="29" a="1"/>
  <c r="H17" i="29" s="1"/>
  <c r="D37" i="29" s="1"/>
  <c r="H15" i="29" a="1"/>
  <c r="H15" i="29" s="1"/>
  <c r="B37" i="29" s="1"/>
  <c r="C17" i="29" a="1"/>
  <c r="C17" i="29" s="1"/>
  <c r="D32" i="29" s="1"/>
  <c r="D17" i="29" a="1"/>
  <c r="D17" i="29" s="1"/>
  <c r="D33" i="29" s="1"/>
  <c r="M15" i="29" a="1"/>
  <c r="M15" i="29" s="1"/>
  <c r="B42" i="29" s="1"/>
  <c r="C15" i="29" a="1"/>
  <c r="C15" i="29" s="1"/>
  <c r="B32" i="29" s="1"/>
  <c r="M16" i="29" a="1"/>
  <c r="M16" i="29" s="1"/>
  <c r="C42" i="29" s="1"/>
  <c r="B16" i="29" a="1"/>
  <c r="B16" i="29" s="1"/>
  <c r="C31" i="29" s="1"/>
  <c r="E17" i="29" a="1"/>
  <c r="E17" i="29" s="1"/>
  <c r="D34" i="29" s="1"/>
  <c r="G16" i="29" a="1"/>
  <c r="G16" i="29" s="1"/>
  <c r="C36" i="29" s="1"/>
  <c r="O17" i="29" a="1"/>
  <c r="O17" i="29" s="1"/>
  <c r="D44" i="29" s="1"/>
  <c r="L16" i="29" a="1"/>
  <c r="L16" i="29" s="1"/>
  <c r="C41" i="29" s="1"/>
  <c r="BE15" i="27"/>
  <c r="BF1" i="27"/>
  <c r="BG2" i="27"/>
  <c r="BF14" i="27"/>
  <c r="BF10" i="27"/>
  <c r="BF6" i="27"/>
  <c r="BF11" i="27"/>
  <c r="BF7" i="27"/>
  <c r="BF3" i="27"/>
  <c r="BF9" i="27"/>
  <c r="BF12" i="27"/>
  <c r="BF4" i="27"/>
  <c r="BF8" i="27"/>
  <c r="BF5" i="27"/>
  <c r="BF13" i="27"/>
  <c r="BH23" i="29" l="1"/>
  <c r="BI19" i="29"/>
  <c r="B46" i="29"/>
  <c r="D46" i="29"/>
  <c r="C46" i="29"/>
  <c r="BH2" i="27"/>
  <c r="BG1" i="27"/>
  <c r="BG14" i="27"/>
  <c r="BG10" i="27"/>
  <c r="BG6" i="27"/>
  <c r="BG11" i="27"/>
  <c r="BG7" i="27"/>
  <c r="BG3" i="27"/>
  <c r="BG13" i="27"/>
  <c r="BG5" i="27"/>
  <c r="BG8" i="27"/>
  <c r="BG12" i="27"/>
  <c r="BG9" i="27"/>
  <c r="BG4" i="27"/>
  <c r="BF15" i="27"/>
  <c r="BJ19" i="29" l="1"/>
  <c r="BI23" i="29"/>
  <c r="BG15" i="27"/>
  <c r="BH1" i="27"/>
  <c r="BI2" i="27"/>
  <c r="BH14" i="27"/>
  <c r="BH10" i="27"/>
  <c r="BH6" i="27"/>
  <c r="BH11" i="27"/>
  <c r="BH7" i="27"/>
  <c r="BH3" i="27"/>
  <c r="BH9" i="27"/>
  <c r="BH12" i="27"/>
  <c r="BH4" i="27"/>
  <c r="BH13" i="27"/>
  <c r="BH5" i="27"/>
  <c r="BH8" i="27"/>
  <c r="BJ23" i="29" l="1"/>
  <c r="BK19" i="29"/>
  <c r="BJ2" i="27"/>
  <c r="BI1" i="27"/>
  <c r="BI14" i="27"/>
  <c r="BI10" i="27"/>
  <c r="BI6" i="27"/>
  <c r="BI11" i="27"/>
  <c r="BI7" i="27"/>
  <c r="BI3" i="27"/>
  <c r="BI13" i="27"/>
  <c r="BI5" i="27"/>
  <c r="BI8" i="27"/>
  <c r="BI4" i="27"/>
  <c r="BI9" i="27"/>
  <c r="BI12" i="27"/>
  <c r="BH15" i="27"/>
  <c r="BL19" i="29" l="1"/>
  <c r="BK23" i="29"/>
  <c r="BI15" i="27"/>
  <c r="BJ1" i="27"/>
  <c r="BK2" i="27"/>
  <c r="BJ14" i="27"/>
  <c r="BJ10" i="27"/>
  <c r="BJ6" i="27"/>
  <c r="BJ11" i="27"/>
  <c r="BJ7" i="27"/>
  <c r="BJ3" i="27"/>
  <c r="BJ9" i="27"/>
  <c r="BJ12" i="27"/>
  <c r="BJ4" i="27"/>
  <c r="BJ8" i="27"/>
  <c r="BJ5" i="27"/>
  <c r="BJ13" i="27"/>
  <c r="BL23" i="29" l="1"/>
  <c r="BM19" i="29"/>
  <c r="BL2" i="27"/>
  <c r="BK1" i="27"/>
  <c r="BK14" i="27"/>
  <c r="BK10" i="27"/>
  <c r="BK6" i="27"/>
  <c r="BK11" i="27"/>
  <c r="BK7" i="27"/>
  <c r="BK3" i="27"/>
  <c r="BK13" i="27"/>
  <c r="BK5" i="27"/>
  <c r="BK8" i="27"/>
  <c r="BK12" i="27"/>
  <c r="BK9" i="27"/>
  <c r="BK4" i="27"/>
  <c r="BJ15" i="27"/>
  <c r="BN19" i="29" l="1"/>
  <c r="BM23" i="29"/>
  <c r="BK15" i="27"/>
  <c r="BM2" i="27"/>
  <c r="BL1" i="27"/>
  <c r="BL14" i="27"/>
  <c r="BL10" i="27"/>
  <c r="BL6" i="27"/>
  <c r="BL11" i="27"/>
  <c r="BL7" i="27"/>
  <c r="BL3" i="27"/>
  <c r="BL9" i="27"/>
  <c r="BL12" i="27"/>
  <c r="BL4" i="27"/>
  <c r="BL13" i="27"/>
  <c r="BL5" i="27"/>
  <c r="BL8" i="27"/>
  <c r="BN23" i="29" l="1"/>
  <c r="BO19" i="29"/>
  <c r="BN2" i="27"/>
  <c r="BM1" i="27"/>
  <c r="BM14" i="27"/>
  <c r="BM10" i="27"/>
  <c r="BM6" i="27"/>
  <c r="BM11" i="27"/>
  <c r="BM7" i="27"/>
  <c r="BM3" i="27"/>
  <c r="BM13" i="27"/>
  <c r="BM5" i="27"/>
  <c r="BM8" i="27"/>
  <c r="BM4" i="27"/>
  <c r="BM9" i="27"/>
  <c r="BM12" i="27"/>
  <c r="BL15" i="27"/>
  <c r="BP19" i="29" l="1"/>
  <c r="BO23" i="29"/>
  <c r="BM15" i="27"/>
  <c r="BN1" i="27"/>
  <c r="BO2" i="27"/>
  <c r="BN14" i="27"/>
  <c r="BN10" i="27"/>
  <c r="BN6" i="27"/>
  <c r="BN11" i="27"/>
  <c r="BN7" i="27"/>
  <c r="BN3" i="27"/>
  <c r="BN9" i="27"/>
  <c r="BN12" i="27"/>
  <c r="BN4" i="27"/>
  <c r="BN8" i="27"/>
  <c r="BN5" i="27"/>
  <c r="BN13" i="27"/>
  <c r="BP23" i="29" l="1"/>
  <c r="BQ19" i="29"/>
  <c r="BP2" i="27"/>
  <c r="BO1" i="27"/>
  <c r="BO14" i="27"/>
  <c r="BO10" i="27"/>
  <c r="BO6" i="27"/>
  <c r="BO11" i="27"/>
  <c r="BO7" i="27"/>
  <c r="BO3" i="27"/>
  <c r="BO13" i="27"/>
  <c r="BO5" i="27"/>
  <c r="BO8" i="27"/>
  <c r="BO12" i="27"/>
  <c r="BO9" i="27"/>
  <c r="BO4" i="27"/>
  <c r="BN15" i="27"/>
  <c r="BR19" i="29" l="1"/>
  <c r="BQ23" i="29"/>
  <c r="BO15" i="27"/>
  <c r="BP1" i="27"/>
  <c r="BQ2" i="27"/>
  <c r="BP14" i="27"/>
  <c r="BP10" i="27"/>
  <c r="BP6" i="27"/>
  <c r="BP11" i="27"/>
  <c r="BP7" i="27"/>
  <c r="BP3" i="27"/>
  <c r="BP9" i="27"/>
  <c r="BP12" i="27"/>
  <c r="BP4" i="27"/>
  <c r="BP13" i="27"/>
  <c r="BP5" i="27"/>
  <c r="BP8" i="27"/>
  <c r="BR23" i="29" l="1"/>
  <c r="BS19" i="29"/>
  <c r="BR2" i="27"/>
  <c r="BQ1" i="27"/>
  <c r="BQ14" i="27"/>
  <c r="BQ10" i="27"/>
  <c r="BQ6" i="27"/>
  <c r="BQ11" i="27"/>
  <c r="BQ7" i="27"/>
  <c r="BQ3" i="27"/>
  <c r="BQ13" i="27"/>
  <c r="BQ5" i="27"/>
  <c r="BQ8" i="27"/>
  <c r="BQ4" i="27"/>
  <c r="BQ9" i="27"/>
  <c r="BQ12" i="27"/>
  <c r="BP15" i="27"/>
  <c r="BT19" i="29" l="1"/>
  <c r="BS23" i="29"/>
  <c r="BQ15" i="27"/>
  <c r="BR1" i="27"/>
  <c r="BS2" i="27"/>
  <c r="BR14" i="27"/>
  <c r="BR10" i="27"/>
  <c r="BR6" i="27"/>
  <c r="BR11" i="27"/>
  <c r="BR7" i="27"/>
  <c r="BR3" i="27"/>
  <c r="BR9" i="27"/>
  <c r="BR12" i="27"/>
  <c r="BR4" i="27"/>
  <c r="BR8" i="27"/>
  <c r="BR5" i="27"/>
  <c r="BR13" i="27"/>
  <c r="BT2" i="27" l="1"/>
  <c r="BS1" i="27"/>
  <c r="BS14" i="27"/>
  <c r="BS10" i="27"/>
  <c r="BS6" i="27"/>
  <c r="BS11" i="27"/>
  <c r="BS7" i="27"/>
  <c r="BS3" i="27"/>
  <c r="BS13" i="27"/>
  <c r="BS5" i="27"/>
  <c r="BS8" i="27"/>
  <c r="BS12" i="27"/>
  <c r="BS9" i="27"/>
  <c r="BS4" i="27"/>
  <c r="BR15" i="27"/>
  <c r="BT23" i="29" l="1"/>
  <c r="BU19" i="29"/>
  <c r="BS15" i="27"/>
  <c r="BT1" i="27"/>
  <c r="BU2" i="27"/>
  <c r="BT14" i="27"/>
  <c r="BT10" i="27"/>
  <c r="BT6" i="27"/>
  <c r="BT11" i="27"/>
  <c r="BT7" i="27"/>
  <c r="BT3" i="27"/>
  <c r="BT9" i="27"/>
  <c r="BT12" i="27"/>
  <c r="BT4" i="27"/>
  <c r="BT13" i="27"/>
  <c r="BT5" i="27"/>
  <c r="BT8" i="27"/>
  <c r="BV19" i="29" l="1"/>
  <c r="BU23" i="29"/>
  <c r="BV2" i="27"/>
  <c r="BU1" i="27"/>
  <c r="BU14" i="27"/>
  <c r="BU10" i="27"/>
  <c r="BU6" i="27"/>
  <c r="BU11" i="27"/>
  <c r="BU7" i="27"/>
  <c r="BU3" i="27"/>
  <c r="BU13" i="27"/>
  <c r="BU5" i="27"/>
  <c r="BU8" i="27"/>
  <c r="BU4" i="27"/>
  <c r="BU9" i="27"/>
  <c r="BU12" i="27"/>
  <c r="BT15" i="27"/>
  <c r="BV23" i="29" l="1"/>
  <c r="BW19" i="29"/>
  <c r="BU15" i="27"/>
  <c r="BV1" i="27"/>
  <c r="BW2" i="27"/>
  <c r="BV14" i="27"/>
  <c r="BV10" i="27"/>
  <c r="BV6" i="27"/>
  <c r="BV11" i="27"/>
  <c r="BV7" i="27"/>
  <c r="BV3" i="27"/>
  <c r="BV9" i="27"/>
  <c r="BV12" i="27"/>
  <c r="BV4" i="27"/>
  <c r="BV8" i="27"/>
  <c r="BV5" i="27"/>
  <c r="BV13" i="27"/>
  <c r="BX19" i="29" l="1"/>
  <c r="BW23" i="29"/>
  <c r="BX2" i="27"/>
  <c r="BW1" i="27"/>
  <c r="BW14" i="27"/>
  <c r="BW10" i="27"/>
  <c r="BW6" i="27"/>
  <c r="BW11" i="27"/>
  <c r="BW7" i="27"/>
  <c r="BW3" i="27"/>
  <c r="BW13" i="27"/>
  <c r="BW5" i="27"/>
  <c r="BW8" i="27"/>
  <c r="BW12" i="27"/>
  <c r="BW9" i="27"/>
  <c r="BW4" i="27"/>
  <c r="BV15" i="27"/>
  <c r="L25" i="13"/>
  <c r="G16" i="13"/>
  <c r="AG12" i="13"/>
  <c r="N8" i="13"/>
  <c r="AA8" i="13"/>
  <c r="N18" i="13"/>
  <c r="O6" i="13"/>
  <c r="O12" i="13"/>
  <c r="D10" i="13"/>
  <c r="T13" i="13"/>
  <c r="Z9" i="13"/>
  <c r="AJ23" i="13"/>
  <c r="H21" i="13"/>
  <c r="AG20" i="13"/>
  <c r="T20" i="13"/>
  <c r="L26" i="13"/>
  <c r="H8" i="13"/>
  <c r="AF7" i="13"/>
  <c r="AF28" i="13"/>
  <c r="X4" i="13"/>
  <c r="R7" i="13"/>
  <c r="D3" i="13"/>
  <c r="X3" i="13"/>
  <c r="M6" i="16"/>
  <c r="AL20" i="13"/>
  <c r="W18" i="13"/>
  <c r="AM4" i="13"/>
  <c r="N9" i="13"/>
  <c r="AG18" i="13"/>
  <c r="AI19" i="13"/>
  <c r="D18" i="13"/>
  <c r="U16" i="13"/>
  <c r="T18" i="13"/>
  <c r="M9" i="13"/>
  <c r="G10" i="13"/>
  <c r="Q13" i="13"/>
  <c r="AB14" i="13"/>
  <c r="G13" i="13"/>
  <c r="AB20" i="13"/>
  <c r="AJ5" i="13"/>
  <c r="G7" i="13"/>
  <c r="P28" i="13"/>
  <c r="G18" i="13"/>
  <c r="Y23" i="13"/>
  <c r="AI22" i="13"/>
  <c r="AE27" i="13"/>
  <c r="AM6" i="13"/>
  <c r="AF22" i="13"/>
  <c r="AH3" i="13"/>
  <c r="N10" i="13"/>
  <c r="M9" i="16"/>
  <c r="J6" i="13"/>
  <c r="AB6" i="13"/>
  <c r="E13" i="13"/>
  <c r="AM7" i="13"/>
  <c r="M20" i="13"/>
  <c r="H14" i="13"/>
  <c r="W9" i="13"/>
  <c r="U15" i="13"/>
  <c r="O24" i="13"/>
  <c r="AE3" i="13"/>
  <c r="T7" i="13"/>
  <c r="M23" i="13"/>
  <c r="AL6" i="13"/>
  <c r="L28" i="13"/>
  <c r="X22" i="13"/>
  <c r="M17" i="13"/>
  <c r="AF11" i="13"/>
  <c r="Q5" i="13"/>
  <c r="S10" i="13"/>
  <c r="E11" i="13"/>
  <c r="AM19" i="13"/>
  <c r="G24" i="13"/>
  <c r="G23" i="13"/>
  <c r="AA10" i="13"/>
  <c r="R6" i="13"/>
  <c r="AL15" i="13"/>
  <c r="P15" i="13"/>
  <c r="H10" i="13"/>
  <c r="X12" i="13"/>
  <c r="AG6" i="13"/>
  <c r="L21" i="13"/>
  <c r="AC28" i="13"/>
  <c r="S14" i="13"/>
  <c r="V23" i="13"/>
  <c r="O25" i="13"/>
  <c r="R9" i="13"/>
  <c r="AF8" i="13"/>
  <c r="AL28" i="13"/>
  <c r="M22" i="13"/>
  <c r="R8" i="13"/>
  <c r="S16" i="13"/>
  <c r="AI26" i="13"/>
  <c r="AE21" i="13"/>
  <c r="V20" i="13"/>
  <c r="AB21" i="13"/>
  <c r="J4" i="13"/>
  <c r="Y12" i="13"/>
  <c r="J8" i="13"/>
  <c r="V7" i="13"/>
  <c r="D15" i="13"/>
  <c r="AK21" i="13"/>
  <c r="AE9" i="13"/>
  <c r="J10" i="13"/>
  <c r="AN11" i="13"/>
  <c r="AE8" i="13"/>
  <c r="AK9" i="13"/>
  <c r="E3" i="13"/>
  <c r="P3" i="13"/>
  <c r="AB10" i="13"/>
  <c r="AM21" i="13"/>
  <c r="AJ16" i="13"/>
  <c r="AN3" i="13"/>
  <c r="AN21" i="13"/>
  <c r="AA5" i="13"/>
  <c r="Q27" i="13"/>
  <c r="AG28" i="13"/>
  <c r="M8" i="13"/>
  <c r="O28" i="13"/>
  <c r="Q16" i="13"/>
  <c r="E28" i="13"/>
  <c r="V18" i="13"/>
  <c r="R10" i="13"/>
  <c r="U17" i="13"/>
  <c r="Q9" i="13"/>
  <c r="R24" i="13"/>
  <c r="M14" i="13"/>
  <c r="AD4" i="13"/>
  <c r="E16" i="13"/>
  <c r="O13" i="13"/>
  <c r="R14" i="13"/>
  <c r="V25" i="13"/>
  <c r="D9" i="13"/>
  <c r="AD20" i="13"/>
  <c r="AA11" i="13"/>
  <c r="AC7" i="13"/>
  <c r="AE10" i="13"/>
  <c r="AG9" i="13"/>
  <c r="AI9" i="13"/>
  <c r="Z26" i="13"/>
  <c r="W5" i="13"/>
  <c r="AD13" i="13"/>
  <c r="H22" i="13"/>
  <c r="E12" i="13"/>
  <c r="AD14" i="13"/>
  <c r="L5" i="16"/>
  <c r="V11" i="13"/>
  <c r="W16" i="13"/>
  <c r="AB13" i="13"/>
  <c r="AJ3" i="13"/>
  <c r="AN23" i="13"/>
  <c r="AL24" i="13"/>
  <c r="AJ20" i="13"/>
  <c r="AB25" i="13"/>
  <c r="E18" i="13"/>
  <c r="E10" i="13"/>
  <c r="AE19" i="13"/>
  <c r="T6" i="13"/>
  <c r="AB11" i="13"/>
  <c r="M28" i="13"/>
  <c r="AA9" i="13"/>
  <c r="AF20" i="13"/>
  <c r="AK7" i="13"/>
  <c r="AI18" i="13"/>
  <c r="W27" i="13"/>
  <c r="P10" i="13"/>
  <c r="U22" i="13"/>
  <c r="AK11" i="13"/>
  <c r="E5" i="13"/>
  <c r="AM28" i="13"/>
  <c r="AG26" i="13"/>
  <c r="N7" i="13"/>
  <c r="U20" i="13"/>
  <c r="AK18" i="13"/>
  <c r="AD11" i="13"/>
  <c r="Q11" i="13"/>
  <c r="AI10" i="13"/>
  <c r="Y17" i="13"/>
  <c r="R13" i="13"/>
  <c r="AE17" i="13"/>
  <c r="AL5" i="13"/>
  <c r="AC15" i="13"/>
  <c r="V22" i="13"/>
  <c r="F3" i="13"/>
  <c r="V10" i="13"/>
  <c r="AF17" i="13"/>
  <c r="AC20" i="13"/>
  <c r="W7" i="13"/>
  <c r="AL22" i="13"/>
  <c r="U21" i="13"/>
  <c r="N16" i="13"/>
  <c r="U24" i="13"/>
  <c r="J20" i="13"/>
  <c r="S6" i="13"/>
  <c r="V5" i="13"/>
  <c r="Y24" i="13"/>
  <c r="AL14" i="13"/>
  <c r="AC26" i="13"/>
  <c r="H11" i="13"/>
  <c r="W17" i="13"/>
  <c r="AB28" i="13"/>
  <c r="G19" i="13"/>
  <c r="AH26" i="13"/>
  <c r="S17" i="13"/>
  <c r="N28" i="13"/>
  <c r="M4" i="16"/>
  <c r="N19" i="13"/>
  <c r="J18" i="13"/>
  <c r="L16" i="13"/>
  <c r="M2" i="16"/>
  <c r="R19" i="13"/>
  <c r="AL26" i="13"/>
  <c r="AG22" i="13"/>
  <c r="AG5" i="13"/>
  <c r="Y6" i="13"/>
  <c r="AH19" i="13"/>
  <c r="AG24" i="13"/>
  <c r="AI15" i="13"/>
  <c r="Z21" i="13"/>
  <c r="Y16" i="13"/>
  <c r="AI12" i="13"/>
  <c r="U19" i="13"/>
  <c r="L20" i="13"/>
  <c r="P8" i="13"/>
  <c r="AD7" i="13"/>
  <c r="AL17" i="13"/>
  <c r="AG10" i="13"/>
  <c r="N23" i="13"/>
  <c r="R3" i="13"/>
  <c r="AK14" i="13"/>
  <c r="L6" i="16"/>
  <c r="AJ7" i="13"/>
  <c r="AJ21" i="13"/>
  <c r="Z20" i="13"/>
  <c r="P26" i="13"/>
  <c r="L10" i="13"/>
  <c r="S9" i="13"/>
  <c r="X19" i="13"/>
  <c r="J19" i="13"/>
  <c r="U23" i="13"/>
  <c r="J12" i="13"/>
  <c r="AE25" i="13"/>
  <c r="T11" i="13"/>
  <c r="AI27" i="13"/>
  <c r="D8" i="13"/>
  <c r="AC12" i="13"/>
  <c r="AF19" i="13"/>
  <c r="J23" i="13"/>
  <c r="Z14" i="13"/>
  <c r="T9" i="13"/>
  <c r="N4" i="13"/>
  <c r="N11" i="13"/>
  <c r="J24" i="13"/>
  <c r="O16" i="13"/>
  <c r="D22" i="13"/>
  <c r="T15" i="13"/>
  <c r="X8" i="13"/>
  <c r="Z16" i="13"/>
  <c r="N12" i="13"/>
  <c r="X23" i="13"/>
  <c r="AA26" i="13"/>
  <c r="AF27" i="13"/>
  <c r="AA7" i="13"/>
  <c r="AB19" i="13"/>
  <c r="AD10" i="13"/>
  <c r="X13" i="13"/>
  <c r="AM20" i="13"/>
  <c r="M6" i="13"/>
  <c r="AG25" i="13"/>
  <c r="AH12" i="13"/>
  <c r="AL11" i="13"/>
  <c r="AK6" i="13"/>
  <c r="P11" i="13"/>
  <c r="V8" i="13"/>
  <c r="L4" i="13"/>
  <c r="R20" i="13"/>
  <c r="AD8" i="13"/>
  <c r="T17" i="13"/>
  <c r="AN14" i="13"/>
  <c r="T26" i="13"/>
  <c r="Y14" i="13"/>
  <c r="Q17" i="13"/>
  <c r="N14" i="13"/>
  <c r="J5" i="13"/>
  <c r="Q28" i="13"/>
  <c r="M8" i="16"/>
  <c r="AK8" i="13"/>
  <c r="X7" i="13"/>
  <c r="AD6" i="13"/>
  <c r="P19" i="13"/>
  <c r="D19" i="13"/>
  <c r="O18" i="13"/>
  <c r="P16" i="13"/>
  <c r="G3" i="13"/>
  <c r="Z19" i="13"/>
  <c r="O23" i="13"/>
  <c r="W25" i="13"/>
  <c r="AH11" i="13"/>
  <c r="P21" i="13"/>
  <c r="D13" i="13"/>
  <c r="AM10" i="13"/>
  <c r="M12" i="13"/>
  <c r="S4" i="13"/>
  <c r="O10" i="13"/>
  <c r="P25" i="13"/>
  <c r="Y19" i="13"/>
  <c r="AB15" i="13"/>
  <c r="AI13" i="13"/>
  <c r="AB12" i="13"/>
  <c r="O20" i="13"/>
  <c r="V15" i="13"/>
  <c r="AL19" i="13"/>
  <c r="O5" i="13"/>
  <c r="AC19" i="13"/>
  <c r="AH28" i="13"/>
  <c r="AC5" i="13"/>
  <c r="L13" i="13"/>
  <c r="AJ6" i="13"/>
  <c r="R15" i="13"/>
  <c r="G21" i="13"/>
  <c r="O17" i="13"/>
  <c r="E19" i="13"/>
  <c r="AN27" i="13"/>
  <c r="W3" i="13"/>
  <c r="M26" i="13"/>
  <c r="Z18" i="13"/>
  <c r="AJ26" i="13"/>
  <c r="S25" i="13"/>
  <c r="AA27" i="13"/>
  <c r="AH6" i="13"/>
  <c r="X17" i="13"/>
  <c r="AM8" i="13"/>
  <c r="Q3" i="13"/>
  <c r="AN17" i="13"/>
  <c r="AN8" i="13"/>
  <c r="AD21" i="13"/>
  <c r="S21" i="13"/>
  <c r="AC23" i="13"/>
  <c r="P13" i="13"/>
  <c r="AH15" i="13"/>
  <c r="AE11" i="13"/>
  <c r="S19" i="13"/>
  <c r="AM17" i="13"/>
  <c r="AI6" i="13"/>
  <c r="AI11" i="13"/>
  <c r="Y20" i="13"/>
  <c r="P23" i="13"/>
  <c r="O26" i="13"/>
  <c r="AE6" i="13"/>
  <c r="H16" i="13"/>
  <c r="P20" i="13"/>
  <c r="AA25" i="13"/>
  <c r="N27" i="13"/>
  <c r="AJ17" i="13"/>
  <c r="U7" i="13"/>
  <c r="AH5" i="13"/>
  <c r="AG23" i="13"/>
  <c r="E14" i="13"/>
  <c r="AC13" i="13"/>
  <c r="AB3" i="13"/>
  <c r="AK4" i="13"/>
  <c r="H18" i="13"/>
  <c r="P7" i="13"/>
  <c r="AF12" i="13"/>
  <c r="W8" i="13"/>
  <c r="AG3" i="13"/>
  <c r="L18" i="13"/>
  <c r="AE16" i="13"/>
  <c r="T14" i="13"/>
  <c r="E17" i="13"/>
  <c r="N15" i="13"/>
  <c r="V27" i="13"/>
  <c r="AK27" i="13"/>
  <c r="Q20" i="13"/>
  <c r="W12" i="13"/>
  <c r="AK20" i="13"/>
  <c r="Z7" i="13"/>
  <c r="P6" i="13"/>
  <c r="M10" i="13"/>
  <c r="AD27" i="13"/>
  <c r="G11" i="13"/>
  <c r="T5" i="13"/>
  <c r="AC18" i="13"/>
  <c r="S8" i="13"/>
  <c r="X9" i="13"/>
  <c r="AM3" i="13"/>
  <c r="G14" i="13"/>
  <c r="U11" i="13"/>
  <c r="X26" i="13"/>
  <c r="D26" i="13"/>
  <c r="W19" i="13"/>
  <c r="D20" i="13"/>
  <c r="Q6" i="13"/>
  <c r="AJ10" i="13"/>
  <c r="AK28" i="13"/>
  <c r="O9" i="13"/>
  <c r="X18" i="13"/>
  <c r="E24" i="13"/>
  <c r="L9" i="13"/>
  <c r="Y22" i="13"/>
  <c r="E27" i="13"/>
  <c r="U14" i="13"/>
  <c r="V13" i="13"/>
  <c r="AJ22" i="13"/>
  <c r="AG8" i="13"/>
  <c r="AM11" i="13"/>
  <c r="W10" i="13"/>
  <c r="Z13" i="13"/>
  <c r="AL18" i="13"/>
  <c r="L27" i="13"/>
  <c r="P22" i="13"/>
  <c r="J22" i="13"/>
  <c r="Y8" i="13"/>
  <c r="R4" i="13"/>
  <c r="P5" i="13"/>
  <c r="Y5" i="13"/>
  <c r="AI3" i="13"/>
  <c r="Y13" i="13"/>
  <c r="AH8" i="13"/>
  <c r="AG15" i="13"/>
  <c r="AI4" i="13"/>
  <c r="Q25" i="13"/>
  <c r="V26" i="13"/>
  <c r="AJ24" i="13"/>
  <c r="AK13" i="13"/>
  <c r="AA20" i="13"/>
  <c r="N3" i="13"/>
  <c r="AM25" i="13"/>
  <c r="T3" i="13"/>
  <c r="AN9" i="13"/>
  <c r="AL23" i="13"/>
  <c r="AF21" i="13"/>
  <c r="AK23" i="13"/>
  <c r="AC27" i="13"/>
  <c r="AI28" i="13"/>
  <c r="Q18" i="13"/>
  <c r="Q15" i="13"/>
  <c r="AH21" i="13"/>
  <c r="Y11" i="13"/>
  <c r="E23" i="13"/>
  <c r="P27" i="13"/>
  <c r="AB27" i="13"/>
  <c r="AJ9" i="13"/>
  <c r="AM15" i="13"/>
  <c r="J7" i="13"/>
  <c r="AB18" i="13"/>
  <c r="X27" i="13"/>
  <c r="AL10" i="13"/>
  <c r="AH23" i="13"/>
  <c r="AD3" i="13"/>
  <c r="AD18" i="13"/>
  <c r="S23" i="13"/>
  <c r="U25" i="13"/>
  <c r="E25" i="13"/>
  <c r="E9" i="13"/>
  <c r="AL16" i="13"/>
  <c r="Z28" i="13"/>
  <c r="AB23" i="13"/>
  <c r="D4" i="13"/>
  <c r="L6" i="13"/>
  <c r="R16" i="13"/>
  <c r="T23" i="13"/>
  <c r="O4" i="13"/>
  <c r="AG19" i="13"/>
  <c r="AH13" i="13"/>
  <c r="AD9" i="13"/>
  <c r="AG14" i="13"/>
  <c r="X24" i="13"/>
  <c r="O21" i="13"/>
  <c r="AN5" i="13"/>
  <c r="AA14" i="13"/>
  <c r="S27" i="13"/>
  <c r="AI8" i="13"/>
  <c r="AE28" i="13"/>
  <c r="AL27" i="13"/>
  <c r="O8" i="13"/>
  <c r="X16" i="13"/>
  <c r="AJ28" i="13"/>
  <c r="Q10" i="13"/>
  <c r="U26" i="13"/>
  <c r="H19" i="13"/>
  <c r="T4" i="13"/>
  <c r="AN18" i="13"/>
  <c r="AC4" i="13"/>
  <c r="V21" i="13"/>
  <c r="AF18" i="13"/>
  <c r="AG11" i="13"/>
  <c r="U18" i="13"/>
  <c r="AK15" i="13"/>
  <c r="AC24" i="13"/>
  <c r="Z25" i="13"/>
  <c r="W13" i="13"/>
  <c r="N22" i="13"/>
  <c r="AG27" i="13"/>
  <c r="AH10" i="13"/>
  <c r="W11" i="13"/>
  <c r="AN13" i="13"/>
  <c r="J16" i="13"/>
  <c r="AL13" i="13"/>
  <c r="S18" i="13"/>
  <c r="AN4" i="13"/>
  <c r="L8" i="13"/>
  <c r="M21" i="13"/>
  <c r="J14" i="13"/>
  <c r="AH7" i="13"/>
  <c r="AJ13" i="13"/>
  <c r="H5" i="13"/>
  <c r="G22" i="13"/>
  <c r="D28" i="13"/>
  <c r="H26" i="13"/>
  <c r="AF13" i="13"/>
  <c r="S3" i="13"/>
  <c r="Z4" i="13"/>
  <c r="V3" i="13"/>
  <c r="L22" i="13"/>
  <c r="AF25" i="13"/>
  <c r="G15" i="13"/>
  <c r="L8" i="16"/>
  <c r="T28" i="13"/>
  <c r="AC9" i="13"/>
  <c r="AI24" i="13"/>
  <c r="L11" i="13"/>
  <c r="R5" i="13"/>
  <c r="G28" i="13"/>
  <c r="H15" i="13"/>
  <c r="U12" i="13"/>
  <c r="AI14" i="13"/>
  <c r="S28" i="13"/>
  <c r="G20" i="13"/>
  <c r="Q7" i="13"/>
  <c r="L15" i="13"/>
  <c r="M7" i="13"/>
  <c r="AF10" i="13"/>
  <c r="AH24" i="13"/>
  <c r="M11" i="13"/>
  <c r="H13" i="13"/>
  <c r="L7" i="16"/>
  <c r="H27" i="13"/>
  <c r="AA12" i="13"/>
  <c r="N6" i="13"/>
  <c r="W21" i="13"/>
  <c r="Y21" i="13"/>
  <c r="AM18" i="13"/>
  <c r="U9" i="13"/>
  <c r="P17" i="13"/>
  <c r="J17" i="13"/>
  <c r="W4" i="13"/>
  <c r="Y7" i="13"/>
  <c r="U13" i="13"/>
  <c r="AD19" i="13"/>
  <c r="M13" i="13"/>
  <c r="L3" i="16"/>
  <c r="AK26" i="13"/>
  <c r="AE7" i="13"/>
  <c r="AE20" i="13"/>
  <c r="AA18" i="13"/>
  <c r="AM24" i="13"/>
  <c r="AI25" i="13"/>
  <c r="D14" i="13"/>
  <c r="AG4" i="13"/>
  <c r="Y18" i="13"/>
  <c r="AC22" i="13"/>
  <c r="AI5" i="13"/>
  <c r="Q24" i="13"/>
  <c r="AF14" i="13"/>
  <c r="M5" i="13"/>
  <c r="D24" i="13"/>
  <c r="E15" i="13"/>
  <c r="AM14" i="13"/>
  <c r="AE24" i="13"/>
  <c r="W24" i="13"/>
  <c r="Z17" i="13"/>
  <c r="AI16" i="13"/>
  <c r="AN25" i="13"/>
  <c r="J25" i="13"/>
  <c r="S13" i="13"/>
  <c r="T25" i="13"/>
  <c r="W23" i="13"/>
  <c r="AH20" i="13"/>
  <c r="W22" i="13"/>
  <c r="T27" i="13"/>
  <c r="AB7" i="13"/>
  <c r="AI23" i="13"/>
  <c r="AN15" i="13"/>
  <c r="AB26" i="13"/>
  <c r="X25" i="13"/>
  <c r="E4" i="13"/>
  <c r="N17" i="13"/>
  <c r="AK25" i="13"/>
  <c r="J11" i="13"/>
  <c r="J13" i="13"/>
  <c r="M27" i="13"/>
  <c r="S22" i="13"/>
  <c r="AM16" i="13"/>
  <c r="D16" i="13"/>
  <c r="AH18" i="13"/>
  <c r="H23" i="13"/>
  <c r="S20" i="13"/>
  <c r="M15" i="13"/>
  <c r="X5" i="13"/>
  <c r="Q12" i="13"/>
  <c r="J28" i="13"/>
  <c r="AJ25" i="13"/>
  <c r="AH17" i="13"/>
  <c r="S5" i="13"/>
  <c r="S11" i="13"/>
  <c r="L7" i="13"/>
  <c r="AE18" i="13"/>
  <c r="T8" i="13"/>
  <c r="AF5" i="13"/>
  <c r="AH9" i="13"/>
  <c r="H20" i="13"/>
  <c r="AK12" i="13"/>
  <c r="AA15" i="13"/>
  <c r="R18" i="13"/>
  <c r="R28" i="13"/>
  <c r="AA17" i="13"/>
  <c r="AK17" i="13"/>
  <c r="E6" i="13"/>
  <c r="AH25" i="13"/>
  <c r="Y26" i="13"/>
  <c r="H4" i="13"/>
  <c r="E22" i="13"/>
  <c r="U8" i="13"/>
  <c r="AH16" i="13"/>
  <c r="AB24" i="13"/>
  <c r="W28" i="13"/>
  <c r="Y15" i="13"/>
  <c r="Z23" i="13"/>
  <c r="AA23" i="13"/>
  <c r="P18" i="13"/>
  <c r="AN20" i="13"/>
  <c r="AF24" i="13"/>
  <c r="G27" i="13"/>
  <c r="G9" i="13"/>
  <c r="AF9" i="13"/>
  <c r="L17" i="13"/>
  <c r="Z6" i="13"/>
  <c r="Z22" i="13"/>
  <c r="V17" i="13"/>
  <c r="AH4" i="13"/>
  <c r="AC3" i="13"/>
  <c r="AA6" i="13"/>
  <c r="AC6" i="13"/>
  <c r="AM5" i="13"/>
  <c r="M5" i="16"/>
  <c r="M4" i="13"/>
  <c r="Z15" i="13"/>
  <c r="AG21" i="13"/>
  <c r="G17" i="13"/>
  <c r="X11" i="13"/>
  <c r="AA22" i="13"/>
  <c r="AB8" i="13"/>
  <c r="J26" i="13"/>
  <c r="AB4" i="13"/>
  <c r="D27" i="13"/>
  <c r="W20" i="13"/>
  <c r="E8" i="13"/>
  <c r="J15" i="13"/>
  <c r="U10" i="13"/>
  <c r="AN22" i="13"/>
  <c r="P24" i="13"/>
  <c r="AD23" i="13"/>
  <c r="AL9" i="13"/>
  <c r="L19" i="13"/>
  <c r="Y27" i="13"/>
  <c r="R27" i="13"/>
  <c r="J9" i="13"/>
  <c r="T10" i="13"/>
  <c r="AE12" i="13"/>
  <c r="G6" i="13"/>
  <c r="O11" i="13"/>
  <c r="Z3" i="13"/>
  <c r="AD5" i="13"/>
  <c r="M19" i="13"/>
  <c r="AF3" i="13"/>
  <c r="X28" i="13"/>
  <c r="J3" i="13"/>
  <c r="J27" i="13"/>
  <c r="U27" i="13"/>
  <c r="H17" i="13"/>
  <c r="AB22" i="13"/>
  <c r="Q4" i="13"/>
  <c r="V9" i="13"/>
  <c r="G4" i="13"/>
  <c r="X21" i="13"/>
  <c r="AE26" i="13"/>
  <c r="AK24" i="13"/>
  <c r="S15" i="13"/>
  <c r="W15" i="13"/>
  <c r="AN12" i="13"/>
  <c r="H7" i="13"/>
  <c r="D6" i="13"/>
  <c r="AN28" i="13"/>
  <c r="L2" i="16"/>
  <c r="X20" i="13"/>
  <c r="R23" i="13"/>
  <c r="H9" i="13"/>
  <c r="AG7" i="13"/>
  <c r="AD12" i="13"/>
  <c r="AB17" i="13"/>
  <c r="AA24" i="13"/>
  <c r="AC8" i="13"/>
  <c r="Y9" i="13"/>
  <c r="S12" i="13"/>
  <c r="Z12" i="13"/>
  <c r="O15" i="13"/>
  <c r="AK19" i="13"/>
  <c r="AA21" i="13"/>
  <c r="V4" i="13"/>
  <c r="AE4" i="13"/>
  <c r="AK22" i="13"/>
  <c r="Z24" i="13"/>
  <c r="AE23" i="13"/>
  <c r="U28" i="13"/>
  <c r="D21" i="13"/>
  <c r="AC21" i="13"/>
  <c r="AD16" i="13"/>
  <c r="AK5" i="13"/>
  <c r="O22" i="13"/>
  <c r="L5" i="13"/>
  <c r="AB16" i="13"/>
  <c r="AL4" i="13"/>
  <c r="O3" i="13"/>
  <c r="D11" i="13"/>
  <c r="Y4" i="13"/>
  <c r="D25" i="13"/>
  <c r="AN26" i="13"/>
  <c r="AI21" i="13"/>
  <c r="L4" i="16"/>
  <c r="V14" i="13"/>
  <c r="AM12" i="13"/>
  <c r="V24" i="13"/>
  <c r="N13" i="13"/>
  <c r="T24" i="13"/>
  <c r="AC25" i="13"/>
  <c r="AE13" i="13"/>
  <c r="P14" i="13"/>
  <c r="U6" i="13"/>
  <c r="AG17" i="13"/>
  <c r="AH27" i="13"/>
  <c r="AJ14" i="13"/>
  <c r="AI7" i="13"/>
  <c r="AF15" i="13"/>
  <c r="U4" i="13"/>
  <c r="Y28" i="13"/>
  <c r="E26" i="13"/>
  <c r="AN19" i="13"/>
  <c r="L24" i="13"/>
  <c r="AJ11" i="13"/>
  <c r="AL7" i="13"/>
  <c r="AJ18" i="13"/>
  <c r="AE5" i="13"/>
  <c r="AA16" i="13"/>
  <c r="H28" i="13"/>
  <c r="O27" i="13"/>
  <c r="AA28" i="13"/>
  <c r="Y10" i="13"/>
  <c r="M16" i="13"/>
  <c r="AJ12" i="13"/>
  <c r="AB5" i="13"/>
  <c r="AK10" i="13"/>
  <c r="AH14" i="13"/>
  <c r="Z5" i="13"/>
  <c r="V12" i="13"/>
  <c r="T19" i="13"/>
  <c r="M25" i="13"/>
  <c r="R11" i="13"/>
  <c r="AJ4" i="13"/>
  <c r="Z27" i="13"/>
  <c r="AC14" i="13"/>
  <c r="W14" i="13"/>
  <c r="T21" i="13"/>
  <c r="X6" i="13"/>
  <c r="AH22" i="13"/>
  <c r="W6" i="13"/>
  <c r="V28" i="13"/>
  <c r="P4" i="13"/>
  <c r="D12" i="13"/>
  <c r="U3" i="13"/>
  <c r="AL3" i="13"/>
  <c r="AN10" i="13"/>
  <c r="AM9" i="13"/>
  <c r="Q23" i="13"/>
  <c r="T12" i="13"/>
  <c r="M3" i="13"/>
  <c r="AA4" i="13"/>
  <c r="AD26" i="13"/>
  <c r="N26" i="13"/>
  <c r="Y25" i="13"/>
  <c r="AA3" i="13"/>
  <c r="X10" i="13"/>
  <c r="D23" i="13"/>
  <c r="H24" i="13"/>
  <c r="D17" i="13"/>
  <c r="H25" i="13"/>
  <c r="N20" i="13"/>
  <c r="AL21" i="13"/>
  <c r="AC16" i="13"/>
  <c r="AF26" i="13"/>
  <c r="J21" i="13"/>
  <c r="AA19" i="13"/>
  <c r="AF16" i="13"/>
  <c r="G12" i="13"/>
  <c r="L3" i="13"/>
  <c r="AG16" i="13"/>
  <c r="AD24" i="13"/>
  <c r="O7" i="13"/>
  <c r="R25" i="13"/>
  <c r="G8" i="13"/>
  <c r="Q19" i="13"/>
  <c r="L14" i="13"/>
  <c r="AA13" i="13"/>
  <c r="O19" i="13"/>
  <c r="AN6" i="13"/>
  <c r="Z10" i="13"/>
  <c r="O14" i="13"/>
  <c r="L9" i="16"/>
  <c r="R12" i="13"/>
  <c r="AD17" i="13"/>
  <c r="X14" i="13"/>
  <c r="G25" i="13"/>
  <c r="N24" i="13"/>
  <c r="X15" i="13"/>
  <c r="AE22" i="13"/>
  <c r="R21" i="13"/>
  <c r="U5" i="13"/>
  <c r="N25" i="13"/>
  <c r="P9" i="13"/>
  <c r="M7" i="16"/>
  <c r="AN7" i="13"/>
  <c r="T16" i="13"/>
  <c r="L23" i="13"/>
  <c r="AC17" i="13"/>
  <c r="R26" i="13"/>
  <c r="D7" i="13"/>
  <c r="Q26" i="13"/>
  <c r="AC10" i="13"/>
  <c r="M3" i="16"/>
  <c r="S7" i="13"/>
  <c r="R22" i="13"/>
  <c r="AL25" i="13"/>
  <c r="AC11" i="13"/>
  <c r="AK3" i="13"/>
  <c r="AM26" i="13"/>
  <c r="AM13" i="13"/>
  <c r="AI17" i="13"/>
  <c r="AJ27" i="13"/>
  <c r="Y3" i="13"/>
  <c r="L12" i="13"/>
  <c r="AN24" i="13"/>
  <c r="Q21" i="13"/>
  <c r="AN16" i="13"/>
  <c r="AM22" i="13"/>
  <c r="S26" i="13"/>
  <c r="AD22" i="13"/>
  <c r="H6" i="13"/>
  <c r="AL8" i="13"/>
  <c r="M24" i="13"/>
  <c r="H3" i="13"/>
  <c r="AD15" i="13"/>
  <c r="Z11" i="13"/>
  <c r="AF23" i="13"/>
  <c r="AB9" i="13"/>
  <c r="AF6" i="13"/>
  <c r="AE15" i="13"/>
  <c r="M18" i="13"/>
  <c r="AJ15" i="13"/>
  <c r="G5" i="13"/>
  <c r="AM27" i="13"/>
  <c r="R17" i="13"/>
  <c r="AG13" i="13"/>
  <c r="AE14" i="13"/>
  <c r="AD28" i="13"/>
  <c r="E7" i="13"/>
  <c r="AF4" i="13"/>
  <c r="Z8" i="13"/>
  <c r="G26" i="13"/>
  <c r="N5" i="13"/>
  <c r="AD25" i="13"/>
  <c r="AJ19" i="13"/>
  <c r="AL12" i="13"/>
  <c r="S24" i="13"/>
  <c r="H12" i="13"/>
  <c r="D5" i="13"/>
  <c r="AK16" i="13"/>
  <c r="W26" i="13"/>
  <c r="P12" i="13"/>
  <c r="AJ8" i="13"/>
  <c r="V19" i="13"/>
  <c r="Q22" i="13"/>
  <c r="T22" i="13"/>
  <c r="AM23" i="13"/>
  <c r="N21" i="13"/>
  <c r="V16" i="13"/>
  <c r="E20" i="13"/>
  <c r="AI20" i="13"/>
  <c r="V6" i="13"/>
  <c r="Q8" i="13"/>
  <c r="E21" i="13"/>
  <c r="Q14" i="13"/>
  <c r="C18" i="13" l="1"/>
  <c r="C14" i="13"/>
  <c r="C6" i="13"/>
  <c r="C19" i="13"/>
  <c r="C12" i="13"/>
  <c r="N7" i="16"/>
  <c r="S7" i="16" s="1"/>
  <c r="N2" i="16"/>
  <c r="S2" i="16" s="1"/>
  <c r="C7" i="13"/>
  <c r="C15" i="13"/>
  <c r="C17" i="13"/>
  <c r="C10" i="13"/>
  <c r="C23" i="13"/>
  <c r="C24" i="13"/>
  <c r="P3" i="16"/>
  <c r="N6" i="16"/>
  <c r="S6" i="16" s="1"/>
  <c r="N4" i="16"/>
  <c r="S4" i="16" s="1"/>
  <c r="C11" i="13"/>
  <c r="C4" i="13"/>
  <c r="C27" i="13"/>
  <c r="N3" i="16"/>
  <c r="S3" i="16" s="1"/>
  <c r="C3" i="13"/>
  <c r="P5" i="16"/>
  <c r="P2" i="16"/>
  <c r="C16" i="13"/>
  <c r="N5" i="16"/>
  <c r="S5" i="16" s="1"/>
  <c r="N8" i="16"/>
  <c r="S8" i="16" s="1"/>
  <c r="P9" i="16"/>
  <c r="C21" i="13"/>
  <c r="C5" i="13"/>
  <c r="C26" i="13"/>
  <c r="C8" i="13"/>
  <c r="C20" i="13"/>
  <c r="P7" i="16"/>
  <c r="P8" i="16"/>
  <c r="C13" i="13"/>
  <c r="N9" i="16"/>
  <c r="S9" i="16" s="1"/>
  <c r="C22" i="13"/>
  <c r="C28" i="13"/>
  <c r="C25" i="13"/>
  <c r="BX23" i="29"/>
  <c r="BY19" i="29"/>
  <c r="BW15" i="27"/>
  <c r="BY2" i="27"/>
  <c r="BX1" i="27"/>
  <c r="BX14" i="27"/>
  <c r="BX10" i="27"/>
  <c r="BX6" i="27"/>
  <c r="BX11" i="27"/>
  <c r="BX7" i="27"/>
  <c r="BX3" i="27"/>
  <c r="BX9" i="27"/>
  <c r="BX12" i="27"/>
  <c r="BX4" i="27"/>
  <c r="BX13" i="27"/>
  <c r="BX5" i="27"/>
  <c r="BX8" i="27"/>
  <c r="BZ19" i="29" l="1"/>
  <c r="BY23" i="29"/>
  <c r="BZ2" i="27"/>
  <c r="BY1" i="27"/>
  <c r="BY14" i="27"/>
  <c r="BY10" i="27"/>
  <c r="BY6" i="27"/>
  <c r="BY11" i="27"/>
  <c r="BY7" i="27"/>
  <c r="BY3" i="27"/>
  <c r="BY13" i="27"/>
  <c r="BY5" i="27"/>
  <c r="BY8" i="27"/>
  <c r="BY4" i="27"/>
  <c r="BY9" i="27"/>
  <c r="BY12" i="27"/>
  <c r="BX15" i="27"/>
  <c r="BZ23" i="29" l="1"/>
  <c r="CA19" i="29"/>
  <c r="BY15" i="27"/>
  <c r="BZ1" i="27"/>
  <c r="CA2" i="27"/>
  <c r="BZ14" i="27"/>
  <c r="BZ10" i="27"/>
  <c r="BZ6" i="27"/>
  <c r="BZ11" i="27"/>
  <c r="BZ7" i="27"/>
  <c r="BZ3" i="27"/>
  <c r="BZ9" i="27"/>
  <c r="BZ12" i="27"/>
  <c r="BZ4" i="27"/>
  <c r="BZ8" i="27"/>
  <c r="BZ5" i="27"/>
  <c r="BZ13" i="27"/>
  <c r="CB19" i="29" l="1"/>
  <c r="CA23" i="29"/>
  <c r="CA1" i="27"/>
  <c r="F18" i="27" s="1"/>
  <c r="CA14" i="27"/>
  <c r="CA10" i="27"/>
  <c r="CA6" i="27"/>
  <c r="CA11" i="27"/>
  <c r="CA7" i="27"/>
  <c r="CA3" i="27"/>
  <c r="CA13" i="27"/>
  <c r="CA5" i="27"/>
  <c r="CA8" i="27"/>
  <c r="CA12" i="27"/>
  <c r="CA9" i="27"/>
  <c r="CA4" i="27"/>
  <c r="BZ15" i="27"/>
  <c r="CB23" i="29" l="1"/>
  <c r="CC19" i="29"/>
  <c r="CA15" i="27"/>
  <c r="AJ18" i="27"/>
  <c r="K18" i="27"/>
  <c r="AL18" i="27"/>
  <c r="AB18" i="27"/>
  <c r="V18" i="27"/>
  <c r="AM18" i="27"/>
  <c r="T18" i="27"/>
  <c r="O18" i="27"/>
  <c r="I18" i="27"/>
  <c r="H18" i="27"/>
  <c r="G18" i="27"/>
  <c r="AK18" i="27"/>
  <c r="P18" i="27"/>
  <c r="AN18" i="27"/>
  <c r="AD18" i="27"/>
  <c r="U18" i="27"/>
  <c r="R18" i="27"/>
  <c r="W18" i="27"/>
  <c r="X18" i="27"/>
  <c r="Z18" i="27"/>
  <c r="M18" i="27"/>
  <c r="AO18" i="27"/>
  <c r="AC18" i="27"/>
  <c r="J18" i="27"/>
  <c r="AE18" i="27"/>
  <c r="N18" i="27"/>
  <c r="Y18" i="27"/>
  <c r="AG18" i="27"/>
  <c r="AF18" i="27"/>
  <c r="S18" i="27"/>
  <c r="AH18" i="27"/>
  <c r="AI18" i="27"/>
  <c r="Q18" i="27"/>
  <c r="AA18" i="27"/>
  <c r="CD19" i="29" l="1"/>
  <c r="CC23" i="29"/>
  <c r="AP18" i="27"/>
  <c r="L18" i="27"/>
  <c r="CD23" i="29" l="1"/>
  <c r="CE19" i="29"/>
  <c r="CF19" i="29" l="1"/>
  <c r="CE23" i="29"/>
  <c r="CF23" i="29" l="1"/>
  <c r="CG19" i="29"/>
  <c r="CH19" i="29" l="1"/>
  <c r="CG23" i="29"/>
  <c r="CH23" i="29" l="1"/>
  <c r="CI19" i="29"/>
  <c r="CJ19" i="29" l="1"/>
  <c r="CI23" i="29"/>
  <c r="CJ23" i="29" l="1"/>
  <c r="CK19" i="29"/>
  <c r="CL19" i="29" l="1"/>
  <c r="CK23" i="29"/>
  <c r="CL23" i="29" l="1"/>
  <c r="CM19" i="29"/>
  <c r="CN19" i="29" l="1"/>
  <c r="CM23" i="29"/>
  <c r="CN23" i="29" l="1"/>
  <c r="CO19" i="29"/>
  <c r="CP19" i="29" l="1"/>
  <c r="CO23" i="29"/>
  <c r="CP23" i="29" l="1"/>
  <c r="CQ19" i="29"/>
  <c r="CR19" i="29" l="1"/>
  <c r="CQ23" i="29"/>
  <c r="CR23" i="29" l="1"/>
  <c r="CS19" i="29"/>
  <c r="CS23" i="29" l="1"/>
  <c r="CT19" i="29"/>
  <c r="CT23" i="29" l="1"/>
  <c r="CU19" i="29"/>
  <c r="CU23" i="29" l="1"/>
  <c r="CV19" i="29"/>
  <c r="CV23" i="29" l="1"/>
  <c r="CW19" i="29"/>
  <c r="CW23" i="29" l="1"/>
  <c r="CX19" i="29"/>
  <c r="CX23" i="29" l="1"/>
  <c r="CY19" i="29"/>
  <c r="CY23" i="29" l="1"/>
  <c r="CZ19" i="29"/>
  <c r="CZ23" i="29" l="1"/>
  <c r="DA19" i="29"/>
  <c r="DA23" i="29" l="1"/>
  <c r="DB19" i="29"/>
  <c r="DB23" i="29" l="1"/>
  <c r="DC19" i="29"/>
  <c r="DC23" i="29" l="1"/>
  <c r="DD19" i="29"/>
  <c r="DD23" i="29" l="1"/>
  <c r="DE19" i="29"/>
  <c r="DE23" i="29" l="1"/>
  <c r="DF19" i="29"/>
  <c r="DF23" i="29" l="1"/>
  <c r="DG19" i="29"/>
  <c r="DG23" i="29" l="1"/>
  <c r="DH19" i="29"/>
  <c r="DH23" i="29" l="1"/>
  <c r="DI19" i="29"/>
  <c r="DI23" i="29" l="1"/>
  <c r="DJ19" i="29"/>
  <c r="DJ23" i="29" l="1"/>
  <c r="DK19" i="29"/>
  <c r="DK23" i="29" l="1"/>
  <c r="DL19" i="29"/>
  <c r="DL23" i="29" l="1"/>
  <c r="DM19" i="29"/>
  <c r="DM23" i="29" l="1"/>
  <c r="DN19" i="29"/>
  <c r="DN23" i="29" l="1"/>
  <c r="DO19" i="29"/>
  <c r="DO23" i="29" l="1"/>
  <c r="DP19" i="29"/>
  <c r="DP23" i="29" l="1"/>
  <c r="DQ19" i="29"/>
  <c r="DQ23" i="29" l="1"/>
  <c r="DR19" i="29"/>
  <c r="DR23" i="29" l="1"/>
  <c r="DS19" i="29"/>
  <c r="DS23" i="29" l="1"/>
  <c r="DT19" i="29"/>
  <c r="DT23" i="29" l="1"/>
  <c r="DU19" i="29"/>
  <c r="DU23" i="29" l="1"/>
  <c r="DV19" i="29"/>
  <c r="DV23" i="29" l="1"/>
  <c r="DW19" i="29"/>
  <c r="DW23" i="29" l="1"/>
  <c r="DX19" i="29"/>
  <c r="DX23" i="29" l="1"/>
  <c r="DY19" i="29"/>
  <c r="DY23" i="29" l="1"/>
  <c r="DZ19" i="29"/>
  <c r="DZ23" i="29" l="1"/>
  <c r="EA19" i="29"/>
  <c r="EA23" i="29" l="1"/>
  <c r="EB19" i="29"/>
  <c r="EB23" i="29" l="1"/>
  <c r="EC19" i="29"/>
  <c r="EC23" i="29" l="1"/>
  <c r="ED19" i="29"/>
  <c r="ED23" i="29" l="1"/>
  <c r="EE19" i="29"/>
  <c r="EE23" i="29" l="1"/>
  <c r="EF19" i="29"/>
  <c r="EF23" i="29" l="1"/>
  <c r="EG19" i="29"/>
  <c r="EG23" i="29" l="1"/>
  <c r="EH19" i="29"/>
  <c r="EH23" i="29" l="1"/>
  <c r="EI19" i="29"/>
  <c r="EI23" i="29" l="1"/>
  <c r="EJ19" i="29"/>
  <c r="EJ23" i="29" l="1"/>
  <c r="EK19" i="29"/>
  <c r="EK23" i="29" l="1"/>
  <c r="EL19" i="29"/>
  <c r="EL23" i="29" l="1"/>
  <c r="EM19" i="29"/>
  <c r="EM23" i="29" l="1"/>
  <c r="EN19" i="29"/>
  <c r="EN23" i="29" l="1"/>
  <c r="EO19" i="29"/>
  <c r="EO23" i="29" l="1"/>
  <c r="EP19" i="29"/>
  <c r="EP23" i="29" l="1"/>
  <c r="EQ19" i="29"/>
  <c r="EQ23" i="29" l="1"/>
  <c r="ER19" i="29"/>
  <c r="ER23" i="29" l="1"/>
  <c r="ES19" i="29"/>
  <c r="ES23" i="29" l="1"/>
  <c r="ET19" i="29"/>
  <c r="ET23" i="29" l="1"/>
  <c r="EU19" i="29"/>
  <c r="EU23" i="29" l="1"/>
  <c r="EV19" i="29"/>
  <c r="EV23" i="29" l="1"/>
  <c r="EW19" i="29"/>
  <c r="EW23" i="29" l="1"/>
  <c r="EX19" i="29"/>
  <c r="EX23" i="29" l="1"/>
  <c r="EY19" i="29"/>
  <c r="EY23" i="29" l="1"/>
  <c r="EZ19" i="29"/>
  <c r="EZ23" i="29" l="1"/>
  <c r="FA19" i="29"/>
  <c r="FA23" i="29" l="1"/>
  <c r="FB19" i="29"/>
  <c r="FB23" i="29" l="1"/>
  <c r="FC19" i="29"/>
  <c r="FC23" i="29" l="1"/>
  <c r="FD19" i="29"/>
  <c r="FD23" i="29" l="1"/>
  <c r="FE19" i="29"/>
  <c r="FE23" i="29" l="1"/>
  <c r="FF19" i="29"/>
  <c r="FF23" i="29" l="1"/>
  <c r="FG19" i="29"/>
  <c r="FG23" i="29" l="1"/>
  <c r="FH19" i="29"/>
  <c r="FH23" i="29" l="1"/>
  <c r="FI19" i="29"/>
  <c r="FI23" i="29" l="1"/>
  <c r="FJ19" i="29"/>
  <c r="FJ23" i="29" l="1"/>
  <c r="FK19" i="29"/>
  <c r="FK23" i="29" l="1"/>
  <c r="FL19" i="29"/>
  <c r="FL23" i="29" l="1"/>
  <c r="FM19" i="29"/>
  <c r="FM23" i="29" l="1"/>
  <c r="FN19" i="29"/>
  <c r="FN23" i="29" l="1"/>
  <c r="FO19" i="29"/>
  <c r="FO23" i="29" l="1"/>
  <c r="FP19" i="29"/>
  <c r="FP23" i="29" l="1"/>
  <c r="FQ19" i="29"/>
  <c r="FQ23" i="29" l="1"/>
  <c r="FR19" i="29"/>
  <c r="FR23" i="29" l="1"/>
  <c r="FS19" i="29"/>
  <c r="FS23" i="29" l="1"/>
  <c r="FT19" i="29"/>
  <c r="FT23" i="29" l="1"/>
  <c r="FU19" i="29"/>
  <c r="FU23" i="29" l="1"/>
  <c r="FV19" i="29"/>
  <c r="FV23" i="29" l="1"/>
  <c r="FW19" i="29"/>
  <c r="FW23" i="29" l="1"/>
  <c r="FX19" i="29"/>
  <c r="FY19" i="29" l="1"/>
  <c r="FX23" i="29"/>
  <c r="FY23" i="29" l="1"/>
  <c r="FZ19" i="29"/>
  <c r="GA19" i="29" l="1"/>
  <c r="FZ23" i="29"/>
  <c r="GA23" i="29" l="1"/>
  <c r="GB19" i="29"/>
  <c r="GC19" i="29" l="1"/>
  <c r="GB23" i="29"/>
  <c r="GC23" i="29" l="1"/>
  <c r="GD19" i="29"/>
  <c r="GE19" i="29" l="1"/>
  <c r="GD23" i="29"/>
  <c r="GE23" i="29" l="1"/>
  <c r="GF19" i="29"/>
  <c r="GG19" i="29" l="1"/>
  <c r="GF23" i="29"/>
  <c r="GG23" i="29" l="1"/>
  <c r="GH19" i="29"/>
  <c r="GI19" i="29" l="1"/>
  <c r="GH23" i="29"/>
  <c r="GI23" i="29" l="1"/>
  <c r="GJ19" i="29"/>
  <c r="GK19" i="29" l="1"/>
  <c r="GJ23" i="29"/>
  <c r="GK23" i="29" l="1"/>
  <c r="GL19" i="29"/>
  <c r="GM19" i="29" l="1"/>
  <c r="GL23" i="29"/>
  <c r="GM23" i="29" l="1"/>
  <c r="GN19" i="29"/>
  <c r="GO19" i="29" l="1"/>
  <c r="GN23" i="29"/>
  <c r="GO23" i="29" l="1"/>
  <c r="GP19" i="29"/>
  <c r="GQ19" i="29" l="1"/>
  <c r="GP23" i="29"/>
  <c r="GQ23" i="29" l="1"/>
  <c r="GR19" i="29"/>
  <c r="GS19" i="29" l="1"/>
  <c r="GR23" i="29"/>
  <c r="GS23" i="29" l="1"/>
  <c r="GT19" i="29"/>
  <c r="GU19" i="29" l="1"/>
  <c r="GT23" i="29"/>
  <c r="GU23" i="29" l="1"/>
  <c r="GV19" i="29"/>
  <c r="GW19" i="29" l="1"/>
  <c r="GV23" i="29"/>
  <c r="GW23" i="29" l="1"/>
  <c r="GX19" i="29"/>
  <c r="GY19" i="29" l="1"/>
  <c r="GX23" i="29"/>
  <c r="GY23" i="29" l="1"/>
  <c r="GZ19" i="29"/>
  <c r="HA19" i="29" l="1"/>
  <c r="GZ23" i="29"/>
  <c r="HA23" i="29" l="1"/>
  <c r="HB19" i="29"/>
  <c r="HC19" i="29" l="1"/>
  <c r="HB23" i="29"/>
  <c r="HC23" i="29" l="1"/>
  <c r="HD19" i="29"/>
  <c r="HE19" i="29" l="1"/>
  <c r="HD23" i="29"/>
  <c r="HE23" i="29" l="1"/>
  <c r="HF19" i="29"/>
  <c r="HG19" i="29" l="1"/>
  <c r="HF23" i="29"/>
  <c r="HG23" i="29" l="1"/>
  <c r="HH19" i="29"/>
  <c r="HI19" i="29" l="1"/>
  <c r="HH23" i="29"/>
  <c r="HI23" i="29" l="1"/>
  <c r="HJ19" i="29"/>
  <c r="HK19" i="29" l="1"/>
  <c r="HJ23" i="29"/>
  <c r="HK23" i="29" l="1"/>
  <c r="HL19" i="29"/>
  <c r="HM19" i="29" l="1"/>
  <c r="HL23" i="29"/>
  <c r="HM23" i="29" l="1"/>
  <c r="HN19" i="29"/>
  <c r="HO19" i="29" l="1"/>
  <c r="HN23" i="29"/>
  <c r="HO23" i="29" l="1"/>
  <c r="HP19" i="29"/>
  <c r="HQ19" i="29" l="1"/>
  <c r="HP23" i="29"/>
  <c r="HQ23" i="29" l="1"/>
  <c r="HR19" i="29"/>
  <c r="HS19" i="29" l="1"/>
  <c r="HR23" i="29"/>
  <c r="HS23" i="29" l="1"/>
  <c r="HT19" i="29"/>
  <c r="HU19" i="29" l="1"/>
  <c r="HT23" i="29"/>
  <c r="HU23" i="29" l="1"/>
  <c r="HV19" i="29"/>
  <c r="HW19" i="29" l="1"/>
  <c r="HV23" i="29"/>
  <c r="HW23" i="29" l="1"/>
  <c r="HX19" i="29"/>
  <c r="HY19" i="29" l="1"/>
  <c r="HX23" i="29"/>
  <c r="HY23" i="29" l="1"/>
  <c r="HZ19" i="29"/>
  <c r="IA19" i="29" l="1"/>
  <c r="HZ23" i="29"/>
  <c r="IA23" i="29" l="1"/>
  <c r="IB19" i="29"/>
  <c r="IC19" i="29" l="1"/>
  <c r="IB23" i="29"/>
  <c r="IC23" i="29" l="1"/>
  <c r="ID19" i="29"/>
  <c r="IE19" i="29" l="1"/>
  <c r="ID23" i="29"/>
  <c r="IE23" i="29" l="1"/>
  <c r="IF19" i="29"/>
  <c r="IG19" i="29" l="1"/>
  <c r="IF23" i="29"/>
  <c r="IG23" i="29" l="1"/>
  <c r="IH19" i="29"/>
  <c r="II19" i="29" l="1"/>
  <c r="IH23" i="29"/>
  <c r="II23" i="29" l="1"/>
  <c r="IJ19" i="29"/>
  <c r="IK19" i="29" l="1"/>
  <c r="IJ23" i="29"/>
  <c r="IK23" i="29" l="1"/>
  <c r="IL19" i="29"/>
  <c r="IM19" i="29" l="1"/>
  <c r="IL23" i="29"/>
  <c r="IM23" i="29" l="1"/>
  <c r="IN19" i="29"/>
  <c r="IO19" i="29" l="1"/>
  <c r="IN23" i="29"/>
  <c r="IO23" i="29" l="1"/>
  <c r="IP19" i="29"/>
  <c r="IQ19" i="29" l="1"/>
  <c r="IP23" i="29"/>
  <c r="IQ23" i="29" l="1"/>
  <c r="IR19" i="29"/>
  <c r="IS19" i="29" l="1"/>
  <c r="IR23" i="29"/>
  <c r="IS23" i="29" l="1"/>
  <c r="IT19" i="29"/>
  <c r="IU19" i="29" l="1"/>
  <c r="IT23" i="29"/>
  <c r="IU23" i="29" l="1"/>
  <c r="IV19" i="29"/>
  <c r="IW19" i="29" l="1"/>
  <c r="IV23" i="29"/>
  <c r="IW23" i="29" l="1"/>
  <c r="IX19" i="29"/>
  <c r="IY19" i="29" l="1"/>
  <c r="IX23" i="29"/>
  <c r="IY23" i="29" l="1"/>
  <c r="IZ19" i="29"/>
  <c r="JA19" i="29" l="1"/>
  <c r="IZ23" i="29"/>
  <c r="JA23" i="29" l="1"/>
  <c r="JB19" i="29"/>
  <c r="JC19" i="29" l="1"/>
  <c r="JB23" i="29"/>
  <c r="JC23" i="29" l="1"/>
  <c r="JD19" i="29"/>
  <c r="JE19" i="29" l="1"/>
  <c r="JD23" i="29"/>
  <c r="JE23" i="29" l="1"/>
  <c r="JF19" i="29"/>
  <c r="JG19" i="29" l="1"/>
  <c r="JG23" i="29" s="1"/>
  <c r="JF23" i="29"/>
  <c r="S9" i="31"/>
  <c r="S8" i="31"/>
  <c r="D20" i="29" l="1"/>
  <c r="JG20" i="29" l="1"/>
  <c r="F7" i="19"/>
  <c r="H7" i="19" l="1"/>
  <c r="F8" i="19"/>
  <c r="H8" i="19" l="1"/>
  <c r="K8" i="22" s="1"/>
  <c r="F10" i="19"/>
  <c r="H10" i="19" l="1"/>
  <c r="K10" i="22" s="1"/>
  <c r="G6" i="22"/>
  <c r="J6" i="22" l="1"/>
  <c r="K6" i="22" s="1"/>
  <c r="G7" i="22"/>
  <c r="J7" i="22" l="1"/>
  <c r="K7" i="22" s="1"/>
  <c r="G9" i="22"/>
  <c r="J9" i="22" l="1"/>
  <c r="K9" i="22" s="1"/>
  <c r="T9" i="31"/>
  <c r="U9" i="31" s="1"/>
  <c r="V9" i="31" s="1"/>
  <c r="T8" i="31"/>
  <c r="U8" i="31" s="1"/>
  <c r="V8" i="31" s="1"/>
  <c r="C20" i="29" l="1"/>
  <c r="GI21" i="29" s="1"/>
  <c r="GI22" i="29" s="1"/>
  <c r="AX21" i="29" l="1"/>
  <c r="AX22" i="29" s="1"/>
  <c r="GX21" i="29"/>
  <c r="GX22" i="29" s="1"/>
  <c r="O21" i="29"/>
  <c r="O22" i="29" s="1"/>
  <c r="IU21" i="29"/>
  <c r="IU22" i="29" s="1"/>
  <c r="GZ21" i="29"/>
  <c r="GZ22" i="29" s="1"/>
  <c r="IW21" i="29"/>
  <c r="IW22" i="29" s="1"/>
  <c r="H21" i="29"/>
  <c r="H22" i="29" s="1"/>
  <c r="AK21" i="29"/>
  <c r="AK22" i="29" s="1"/>
  <c r="GQ21" i="29"/>
  <c r="GQ22" i="29" s="1"/>
  <c r="GE21" i="29"/>
  <c r="GE22" i="29" s="1"/>
  <c r="EE21" i="29"/>
  <c r="EE22" i="29" s="1"/>
  <c r="DA21" i="29"/>
  <c r="DA22" i="29" s="1"/>
  <c r="DJ21" i="29"/>
  <c r="DJ22" i="29" s="1"/>
  <c r="GF21" i="29"/>
  <c r="GF22" i="29" s="1"/>
  <c r="I21" i="29"/>
  <c r="I22" i="29" s="1"/>
  <c r="FO21" i="29"/>
  <c r="FO22" i="29" s="1"/>
  <c r="HI21" i="29"/>
  <c r="HI22" i="29" s="1"/>
  <c r="HV21" i="29"/>
  <c r="HV22" i="29" s="1"/>
  <c r="IL21" i="29"/>
  <c r="IL22" i="29" s="1"/>
  <c r="FU21" i="29"/>
  <c r="FU22" i="29" s="1"/>
  <c r="S21" i="29"/>
  <c r="S22" i="29" s="1"/>
  <c r="FE21" i="29"/>
  <c r="FE22" i="29" s="1"/>
  <c r="AT21" i="29"/>
  <c r="AT22" i="29" s="1"/>
  <c r="BM21" i="29"/>
  <c r="BM22" i="29" s="1"/>
  <c r="FZ21" i="29"/>
  <c r="FZ22" i="29" s="1"/>
  <c r="DB21" i="29"/>
  <c r="DB22" i="29" s="1"/>
  <c r="HQ21" i="29"/>
  <c r="HQ22" i="29" s="1"/>
  <c r="W21" i="29"/>
  <c r="W22" i="29" s="1"/>
  <c r="GT21" i="29"/>
  <c r="GT22" i="29" s="1"/>
  <c r="CN21" i="29"/>
  <c r="CN22" i="29" s="1"/>
  <c r="BB21" i="29"/>
  <c r="BB22" i="29" s="1"/>
  <c r="AI21" i="29"/>
  <c r="AI22" i="29" s="1"/>
  <c r="HY21" i="29"/>
  <c r="HY22" i="29" s="1"/>
  <c r="FT21" i="29"/>
  <c r="FT22" i="29" s="1"/>
  <c r="EU21" i="29"/>
  <c r="EU22" i="29" s="1"/>
  <c r="Z21" i="29"/>
  <c r="Z22" i="29" s="1"/>
  <c r="HZ21" i="29"/>
  <c r="HZ22" i="29" s="1"/>
  <c r="BG21" i="29"/>
  <c r="BG22" i="29" s="1"/>
  <c r="CA21" i="29"/>
  <c r="CA22" i="29" s="1"/>
  <c r="HT21" i="29"/>
  <c r="HT22" i="29" s="1"/>
  <c r="Y21" i="29"/>
  <c r="Y22" i="29" s="1"/>
  <c r="FX21" i="29"/>
  <c r="FX22" i="29" s="1"/>
  <c r="DX21" i="29"/>
  <c r="DX22" i="29" s="1"/>
  <c r="EC21" i="29"/>
  <c r="EC22" i="29" s="1"/>
  <c r="HR21" i="29"/>
  <c r="HR22" i="29" s="1"/>
  <c r="HX21" i="29"/>
  <c r="HX22" i="29" s="1"/>
  <c r="BC21" i="29"/>
  <c r="BC22" i="29" s="1"/>
  <c r="FJ21" i="29"/>
  <c r="FJ22" i="29" s="1"/>
  <c r="BD21" i="29"/>
  <c r="BD22" i="29" s="1"/>
  <c r="ID21" i="29"/>
  <c r="ID22" i="29" s="1"/>
  <c r="BE21" i="29"/>
  <c r="BE22" i="29" s="1"/>
  <c r="CK21" i="29"/>
  <c r="CK22" i="29" s="1"/>
  <c r="JA21" i="29"/>
  <c r="JA22" i="29" s="1"/>
  <c r="EO21" i="29"/>
  <c r="EO22" i="29" s="1"/>
  <c r="ED21" i="29"/>
  <c r="ED22" i="29" s="1"/>
  <c r="CR21" i="29"/>
  <c r="CR22" i="29" s="1"/>
  <c r="DS21" i="29"/>
  <c r="DS22" i="29" s="1"/>
  <c r="IH21" i="29"/>
  <c r="IH22" i="29" s="1"/>
  <c r="DF21" i="29"/>
  <c r="DF22" i="29" s="1"/>
  <c r="JG21" i="29"/>
  <c r="JG22" i="29" s="1"/>
  <c r="FH21" i="29"/>
  <c r="FH22" i="29" s="1"/>
  <c r="U21" i="29"/>
  <c r="U22" i="29" s="1"/>
  <c r="DI21" i="29"/>
  <c r="DI22" i="29" s="1"/>
  <c r="FV21" i="29"/>
  <c r="FV22" i="29" s="1"/>
  <c r="AG21" i="29"/>
  <c r="AG22" i="29" s="1"/>
  <c r="CT21" i="29"/>
  <c r="CT22" i="29" s="1"/>
  <c r="L21" i="29"/>
  <c r="L22" i="29" s="1"/>
  <c r="HS21" i="29"/>
  <c r="HS22" i="29" s="1"/>
  <c r="GA21" i="29"/>
  <c r="GA22" i="29" s="1"/>
  <c r="DP21" i="29"/>
  <c r="DP22" i="29" s="1"/>
  <c r="BZ21" i="29"/>
  <c r="BZ22" i="29" s="1"/>
  <c r="GB21" i="29"/>
  <c r="GB22" i="29" s="1"/>
  <c r="EK21" i="29"/>
  <c r="EK22" i="29" s="1"/>
  <c r="R21" i="29"/>
  <c r="R22" i="29" s="1"/>
  <c r="AJ21" i="29"/>
  <c r="AJ22" i="29" s="1"/>
  <c r="CB21" i="29"/>
  <c r="CB22" i="29" s="1"/>
  <c r="GN21" i="29"/>
  <c r="GN22" i="29" s="1"/>
  <c r="GL21" i="29"/>
  <c r="GL22" i="29" s="1"/>
  <c r="DU21" i="29"/>
  <c r="DU22" i="29" s="1"/>
  <c r="HU21" i="29"/>
  <c r="HU22" i="29" s="1"/>
  <c r="EY21" i="29"/>
  <c r="EY22" i="29" s="1"/>
  <c r="EW21" i="29"/>
  <c r="EW22" i="29" s="1"/>
  <c r="BN21" i="29"/>
  <c r="BN22" i="29" s="1"/>
  <c r="IP21" i="29"/>
  <c r="IP22" i="29" s="1"/>
  <c r="FY21" i="29"/>
  <c r="FY22" i="29" s="1"/>
  <c r="HH21" i="29"/>
  <c r="HH22" i="29" s="1"/>
  <c r="EX21" i="29"/>
  <c r="EX22" i="29" s="1"/>
  <c r="ET21" i="29"/>
  <c r="ET22" i="29" s="1"/>
  <c r="HW21" i="29"/>
  <c r="HW22" i="29" s="1"/>
  <c r="DW21" i="29"/>
  <c r="DW22" i="29" s="1"/>
  <c r="GU21" i="29"/>
  <c r="GU22" i="29" s="1"/>
  <c r="JD21" i="29"/>
  <c r="JD22" i="29" s="1"/>
  <c r="AY21" i="29"/>
  <c r="AY22" i="29" s="1"/>
  <c r="IM21" i="29"/>
  <c r="IM22" i="29" s="1"/>
  <c r="FR21" i="29"/>
  <c r="FR22" i="29" s="1"/>
  <c r="BS21" i="29"/>
  <c r="BS22" i="29" s="1"/>
  <c r="DR21" i="29"/>
  <c r="DR22" i="29" s="1"/>
  <c r="CO21" i="29"/>
  <c r="CO22" i="29" s="1"/>
  <c r="EI21" i="29"/>
  <c r="EI22" i="29" s="1"/>
  <c r="BQ21" i="29"/>
  <c r="BQ22" i="29" s="1"/>
  <c r="HL21" i="29"/>
  <c r="HL22" i="29" s="1"/>
  <c r="DZ21" i="29"/>
  <c r="DZ22" i="29" s="1"/>
  <c r="HB21" i="29"/>
  <c r="HB22" i="29" s="1"/>
  <c r="CX21" i="29"/>
  <c r="CX22" i="29" s="1"/>
  <c r="IJ21" i="29"/>
  <c r="IJ22" i="29" s="1"/>
  <c r="AF21" i="29"/>
  <c r="AF22" i="29" s="1"/>
  <c r="HG21" i="29"/>
  <c r="HG22" i="29" s="1"/>
  <c r="GH21" i="29"/>
  <c r="GH22" i="29" s="1"/>
  <c r="BU21" i="29"/>
  <c r="BU22" i="29" s="1"/>
  <c r="GD21" i="29"/>
  <c r="GD22" i="29" s="1"/>
  <c r="FW21" i="29"/>
  <c r="FW22" i="29" s="1"/>
  <c r="EP21" i="29"/>
  <c r="EP22" i="29" s="1"/>
  <c r="AL21" i="29"/>
  <c r="AL22" i="29" s="1"/>
  <c r="CS21" i="29"/>
  <c r="CS22" i="29" s="1"/>
  <c r="CY21" i="29"/>
  <c r="CY22" i="29" s="1"/>
  <c r="HJ21" i="29"/>
  <c r="HJ22" i="29" s="1"/>
  <c r="IQ21" i="29"/>
  <c r="IQ22" i="29" s="1"/>
  <c r="GC21" i="29"/>
  <c r="GC22" i="29" s="1"/>
  <c r="CU21" i="29"/>
  <c r="CU22" i="29" s="1"/>
  <c r="BL21" i="29"/>
  <c r="BL22" i="29" s="1"/>
  <c r="IV21" i="29"/>
  <c r="IV22" i="29" s="1"/>
  <c r="AV21" i="29"/>
  <c r="AV22" i="29" s="1"/>
  <c r="K21" i="29"/>
  <c r="K22" i="29" s="1"/>
  <c r="IK21" i="29"/>
  <c r="IK22" i="29" s="1"/>
  <c r="JC21" i="29"/>
  <c r="JC22" i="29" s="1"/>
  <c r="DG21" i="29"/>
  <c r="DG22" i="29" s="1"/>
  <c r="IE21" i="29"/>
  <c r="IE22" i="29" s="1"/>
  <c r="Q21" i="29"/>
  <c r="Q22" i="29" s="1"/>
  <c r="CQ21" i="29"/>
  <c r="CQ22" i="29" s="1"/>
  <c r="IN21" i="29"/>
  <c r="IN22" i="29" s="1"/>
  <c r="EL21" i="29"/>
  <c r="EL22" i="29" s="1"/>
  <c r="EG21" i="29"/>
  <c r="EG22" i="29" s="1"/>
  <c r="DM21" i="29"/>
  <c r="DM22" i="29" s="1"/>
  <c r="HP21" i="29"/>
  <c r="HP22" i="29" s="1"/>
  <c r="GK21" i="29"/>
  <c r="GK22" i="29" s="1"/>
  <c r="DN21" i="29"/>
  <c r="DN22" i="29" s="1"/>
  <c r="FB21" i="29"/>
  <c r="FB22" i="29" s="1"/>
  <c r="BK21" i="29"/>
  <c r="BK22" i="29" s="1"/>
  <c r="FM21" i="29"/>
  <c r="FM22" i="29" s="1"/>
  <c r="FS21" i="29"/>
  <c r="FS22" i="29" s="1"/>
  <c r="AA21" i="29"/>
  <c r="AA22" i="29" s="1"/>
  <c r="GJ21" i="29"/>
  <c r="GJ22" i="29" s="1"/>
  <c r="BI21" i="29"/>
  <c r="BI22" i="29" s="1"/>
  <c r="AS21" i="29"/>
  <c r="AS22" i="29" s="1"/>
  <c r="EM21" i="29"/>
  <c r="EM22" i="29" s="1"/>
  <c r="GG21" i="29"/>
  <c r="GG22" i="29" s="1"/>
  <c r="IB21" i="29"/>
  <c r="IB22" i="29" s="1"/>
  <c r="G21" i="29"/>
  <c r="G22" i="29" s="1"/>
  <c r="EA21" i="29"/>
  <c r="EA22" i="29" s="1"/>
  <c r="ES21" i="29"/>
  <c r="ES22" i="29" s="1"/>
  <c r="IS21" i="29"/>
  <c r="IS22" i="29" s="1"/>
  <c r="BH21" i="29"/>
  <c r="BH22" i="29" s="1"/>
  <c r="FL21" i="29"/>
  <c r="FL22" i="29" s="1"/>
  <c r="FA21" i="29"/>
  <c r="FA22" i="29" s="1"/>
  <c r="HF21" i="29"/>
  <c r="HF22" i="29" s="1"/>
  <c r="IR21" i="29"/>
  <c r="IR22" i="29" s="1"/>
  <c r="HE21" i="29"/>
  <c r="HE22" i="29" s="1"/>
  <c r="IO21" i="29"/>
  <c r="IO22" i="29" s="1"/>
  <c r="EV21" i="29"/>
  <c r="EV22" i="29" s="1"/>
  <c r="AP21" i="29"/>
  <c r="AP22" i="29" s="1"/>
  <c r="J21" i="29"/>
  <c r="J22" i="29" s="1"/>
  <c r="BV21" i="29"/>
  <c r="BV22" i="29" s="1"/>
  <c r="EB21" i="29"/>
  <c r="EB22" i="29" s="1"/>
  <c r="IT21" i="29"/>
  <c r="IT22" i="29" s="1"/>
  <c r="BY21" i="29"/>
  <c r="BY22" i="29" s="1"/>
  <c r="AM21" i="29"/>
  <c r="AM22" i="29" s="1"/>
  <c r="HD21" i="29"/>
  <c r="HD22" i="29" s="1"/>
  <c r="AE21" i="29"/>
  <c r="AE22" i="29" s="1"/>
  <c r="EF21" i="29"/>
  <c r="EF22" i="29" s="1"/>
  <c r="T21" i="29"/>
  <c r="T22" i="29" s="1"/>
  <c r="FP21" i="29"/>
  <c r="FP22" i="29" s="1"/>
  <c r="BR21" i="29"/>
  <c r="BR22" i="29" s="1"/>
  <c r="BF21" i="29"/>
  <c r="BF22" i="29" s="1"/>
  <c r="GO21" i="29"/>
  <c r="GO22" i="29" s="1"/>
  <c r="AN21" i="29"/>
  <c r="AN22" i="29" s="1"/>
  <c r="JB21" i="29"/>
  <c r="JB22" i="29" s="1"/>
  <c r="HK21" i="29"/>
  <c r="HK22" i="29" s="1"/>
  <c r="GR21" i="29"/>
  <c r="GR22" i="29" s="1"/>
  <c r="AQ21" i="29"/>
  <c r="AQ22" i="29" s="1"/>
  <c r="IA21" i="29"/>
  <c r="IA22" i="29" s="1"/>
  <c r="FD21" i="29"/>
  <c r="FD22" i="29" s="1"/>
  <c r="DQ21" i="29"/>
  <c r="DQ22" i="29" s="1"/>
  <c r="CM21" i="29"/>
  <c r="CM22" i="29" s="1"/>
  <c r="CE21" i="29"/>
  <c r="CE22" i="29" s="1"/>
  <c r="CJ21" i="29"/>
  <c r="CJ22" i="29" s="1"/>
  <c r="FI21" i="29"/>
  <c r="FI22" i="29" s="1"/>
  <c r="BP21" i="29"/>
  <c r="BP22" i="29" s="1"/>
  <c r="P21" i="29"/>
  <c r="P22" i="29" s="1"/>
  <c r="CI21" i="29"/>
  <c r="CI22" i="29" s="1"/>
  <c r="F21" i="29"/>
  <c r="DK21" i="29"/>
  <c r="DK22" i="29" s="1"/>
  <c r="FQ21" i="29"/>
  <c r="FQ22" i="29" s="1"/>
  <c r="AU21" i="29"/>
  <c r="AU22" i="29" s="1"/>
  <c r="AH21" i="29"/>
  <c r="AH22" i="29" s="1"/>
  <c r="AC21" i="29"/>
  <c r="AC22" i="29" s="1"/>
  <c r="CW21" i="29"/>
  <c r="CW22" i="29" s="1"/>
  <c r="CF21" i="29"/>
  <c r="CF22" i="29" s="1"/>
  <c r="HN21" i="29"/>
  <c r="HN22" i="29" s="1"/>
  <c r="DL21" i="29"/>
  <c r="DL22" i="29" s="1"/>
  <c r="EN21" i="29"/>
  <c r="EN22" i="29" s="1"/>
  <c r="AD21" i="29"/>
  <c r="AD22" i="29" s="1"/>
  <c r="ER21" i="29"/>
  <c r="ER22" i="29" s="1"/>
  <c r="CV21" i="29"/>
  <c r="CV22" i="29" s="1"/>
  <c r="BJ21" i="29"/>
  <c r="BJ22" i="29" s="1"/>
  <c r="AB21" i="29"/>
  <c r="AB22" i="29" s="1"/>
  <c r="BX21" i="29"/>
  <c r="BX22" i="29" s="1"/>
  <c r="HC21" i="29"/>
  <c r="HC22" i="29" s="1"/>
  <c r="JE21" i="29"/>
  <c r="JE22" i="29" s="1"/>
  <c r="AO21" i="29"/>
  <c r="AO22" i="29" s="1"/>
  <c r="IF21" i="29"/>
  <c r="IF22" i="29" s="1"/>
  <c r="BW21" i="29"/>
  <c r="BW22" i="29" s="1"/>
  <c r="GV21" i="29"/>
  <c r="GV22" i="29" s="1"/>
  <c r="DD21" i="29"/>
  <c r="DD22" i="29" s="1"/>
  <c r="FC21" i="29"/>
  <c r="FC22" i="29" s="1"/>
  <c r="GS21" i="29"/>
  <c r="GS22" i="29" s="1"/>
  <c r="CH21" i="29"/>
  <c r="CH22" i="29" s="1"/>
  <c r="GP21" i="29"/>
  <c r="GP22" i="29" s="1"/>
  <c r="IX21" i="29"/>
  <c r="IX22" i="29" s="1"/>
  <c r="DT21" i="29"/>
  <c r="DT22" i="29" s="1"/>
  <c r="GY21" i="29"/>
  <c r="GY22" i="29" s="1"/>
  <c r="EQ21" i="29"/>
  <c r="EQ22" i="29" s="1"/>
  <c r="EZ21" i="29"/>
  <c r="EZ22" i="29" s="1"/>
  <c r="FG21" i="29"/>
  <c r="FG22" i="29" s="1"/>
  <c r="N21" i="29"/>
  <c r="N22" i="29" s="1"/>
  <c r="II21" i="29"/>
  <c r="II22" i="29" s="1"/>
  <c r="DO21" i="29"/>
  <c r="DO22" i="29" s="1"/>
  <c r="CG21" i="29"/>
  <c r="CG22" i="29" s="1"/>
  <c r="CZ21" i="29"/>
  <c r="CZ22" i="29" s="1"/>
  <c r="X21" i="29"/>
  <c r="X22" i="29" s="1"/>
  <c r="DV21" i="29"/>
  <c r="DV22" i="29" s="1"/>
  <c r="JF21" i="29"/>
  <c r="JF22" i="29" s="1"/>
  <c r="AR21" i="29"/>
  <c r="AR22" i="29" s="1"/>
  <c r="AZ21" i="29"/>
  <c r="AZ22" i="29" s="1"/>
  <c r="FF21" i="29"/>
  <c r="FF22" i="29" s="1"/>
  <c r="HA21" i="29"/>
  <c r="HA22" i="29" s="1"/>
  <c r="EJ21" i="29"/>
  <c r="EJ22" i="29" s="1"/>
  <c r="IY21" i="29"/>
  <c r="IY22" i="29" s="1"/>
  <c r="BT21" i="29"/>
  <c r="BT22" i="29" s="1"/>
  <c r="DC21" i="29"/>
  <c r="DC22" i="29" s="1"/>
  <c r="CP21" i="29"/>
  <c r="CP22" i="29" s="1"/>
  <c r="IZ21" i="29"/>
  <c r="IZ22" i="29" s="1"/>
  <c r="V21" i="29"/>
  <c r="V22" i="29" s="1"/>
  <c r="FN21" i="29"/>
  <c r="FN22" i="29" s="1"/>
  <c r="AW21" i="29"/>
  <c r="AW22" i="29" s="1"/>
  <c r="GM21" i="29"/>
  <c r="GM22" i="29" s="1"/>
  <c r="CC21" i="29"/>
  <c r="CC22" i="29" s="1"/>
  <c r="EH21" i="29"/>
  <c r="EH22" i="29" s="1"/>
  <c r="FK21" i="29"/>
  <c r="FK22" i="29" s="1"/>
  <c r="BO21" i="29"/>
  <c r="BO22" i="29" s="1"/>
  <c r="DH21" i="29"/>
  <c r="DH22" i="29" s="1"/>
  <c r="IC21" i="29"/>
  <c r="IC22" i="29" s="1"/>
  <c r="CD21" i="29"/>
  <c r="CD22" i="29" s="1"/>
  <c r="GW21" i="29"/>
  <c r="GW22" i="29" s="1"/>
  <c r="DE21" i="29"/>
  <c r="DE22" i="29" s="1"/>
  <c r="BA21" i="29"/>
  <c r="BA22" i="29" s="1"/>
  <c r="M21" i="29"/>
  <c r="M22" i="29" s="1"/>
  <c r="IG21" i="29"/>
  <c r="IG22" i="29" s="1"/>
  <c r="DY21" i="29"/>
  <c r="DY22" i="29" s="1"/>
  <c r="HO21" i="29"/>
  <c r="HO22" i="29" s="1"/>
  <c r="CL21" i="29"/>
  <c r="CL22" i="29" s="1"/>
  <c r="HM21" i="29"/>
  <c r="HM22" i="29" s="1"/>
  <c r="F22" i="29" l="1"/>
  <c r="BA25" i="29" s="1" a="1"/>
  <c r="BA25" i="29" s="1"/>
  <c r="BR26" i="29" a="1"/>
  <c r="BR26" i="29" s="1"/>
  <c r="CP26" i="29" a="1"/>
  <c r="CP26" i="29" s="1"/>
  <c r="DP26" i="29" a="1"/>
  <c r="DP26" i="29" s="1"/>
  <c r="X26" i="29" a="1"/>
  <c r="X26" i="29" s="1"/>
  <c r="CM26" i="29" a="1"/>
  <c r="CM26" i="29" s="1"/>
  <c r="Y26" i="29" a="1"/>
  <c r="Y26" i="29" s="1"/>
  <c r="DQ26" i="29" a="1"/>
  <c r="DQ26" i="29" s="1"/>
  <c r="AU26" i="29" a="1"/>
  <c r="AU26" i="29" s="1"/>
  <c r="CX26" i="29" a="1"/>
  <c r="CX26" i="29" s="1"/>
  <c r="I26" i="29" a="1"/>
  <c r="I26" i="29" s="1"/>
  <c r="F38" i="29" s="1"/>
  <c r="I38" i="29" s="1"/>
  <c r="AC26" i="29" a="1"/>
  <c r="AC26" i="29" s="1"/>
  <c r="AV26" i="29" a="1"/>
  <c r="AV26" i="29" s="1"/>
  <c r="C26" i="29" a="1"/>
  <c r="C26" i="29" s="1"/>
  <c r="F32" i="29" s="1"/>
  <c r="I32" i="29" s="1"/>
  <c r="EA26" i="29" a="1"/>
  <c r="EA26" i="29" s="1"/>
  <c r="BE26" i="29" a="1"/>
  <c r="BE26" i="29" s="1"/>
  <c r="BC26" i="29" a="1"/>
  <c r="BC26" i="29" s="1"/>
  <c r="CL26" i="29" a="1"/>
  <c r="CL26" i="29" s="1"/>
  <c r="BI26" i="29" a="1"/>
  <c r="BI26" i="29" s="1"/>
  <c r="DL26" i="29" a="1"/>
  <c r="DL26" i="29" s="1"/>
  <c r="BN26" i="29" a="1"/>
  <c r="BN26" i="29" s="1"/>
  <c r="BW26" i="29" a="1"/>
  <c r="BW26" i="29" s="1"/>
  <c r="P26" i="29" a="1"/>
  <c r="P26" i="29" s="1"/>
  <c r="F45" i="29" s="1"/>
  <c r="I45" i="29" s="1"/>
  <c r="DO26" i="29" a="1"/>
  <c r="DO26" i="29" s="1"/>
  <c r="DK26" i="29" a="1"/>
  <c r="DK26" i="29" s="1"/>
  <c r="J26" i="29" a="1"/>
  <c r="J26" i="29" s="1"/>
  <c r="F39" i="29" s="1"/>
  <c r="I39" i="29" s="1"/>
  <c r="CK26" i="29" a="1"/>
  <c r="CK26" i="29" s="1"/>
  <c r="CH26" i="29" a="1"/>
  <c r="CH26" i="29" s="1"/>
  <c r="AR26" i="29" a="1"/>
  <c r="AR26" i="29" s="1"/>
  <c r="DN26" i="29" a="1"/>
  <c r="DN26" i="29" s="1"/>
  <c r="AW26" i="29" a="1"/>
  <c r="AW26" i="29" s="1"/>
  <c r="BQ26" i="29" a="1"/>
  <c r="BQ26" i="29" s="1"/>
  <c r="F26" i="29" a="1"/>
  <c r="F26" i="29" s="1"/>
  <c r="F35" i="29" s="1"/>
  <c r="I35" i="29" s="1"/>
  <c r="DZ26" i="29" a="1"/>
  <c r="DZ26" i="29" s="1"/>
  <c r="BP26" i="29" a="1"/>
  <c r="BP26" i="29" s="1"/>
  <c r="DY26" i="29" a="1"/>
  <c r="DY26" i="29" s="1"/>
  <c r="CU26" i="29" a="1"/>
  <c r="CU26" i="29" s="1"/>
  <c r="AO26" i="29" a="1"/>
  <c r="AO26" i="29" s="1"/>
  <c r="DA26" i="29" a="1"/>
  <c r="DA26" i="29" s="1"/>
  <c r="CZ26" i="29" a="1"/>
  <c r="CZ26" i="29" s="1"/>
  <c r="DS26" i="29" a="1"/>
  <c r="DS26" i="29" s="1"/>
  <c r="B26" i="29" a="1"/>
  <c r="B26" i="29" s="1"/>
  <c r="F31" i="29" s="1"/>
  <c r="CR26" i="29" a="1"/>
  <c r="CR26" i="29" s="1"/>
  <c r="T26" i="29" a="1"/>
  <c r="T26" i="29" s="1"/>
  <c r="BL26" i="29" a="1"/>
  <c r="BL26" i="29" s="1"/>
  <c r="BK26" i="29" a="1"/>
  <c r="BK26" i="29" s="1"/>
  <c r="AZ26" i="29" a="1"/>
  <c r="AZ26" i="29" s="1"/>
  <c r="DX26" i="29" a="1"/>
  <c r="DX26" i="29" s="1"/>
  <c r="BJ26" i="29" a="1"/>
  <c r="BJ26" i="29" s="1"/>
  <c r="G26" i="29" a="1"/>
  <c r="G26" i="29" s="1"/>
  <c r="F36" i="29" s="1"/>
  <c r="I36" i="29" s="1"/>
  <c r="DI26" i="29" a="1"/>
  <c r="DI26" i="29" s="1"/>
  <c r="CD26" i="29" a="1"/>
  <c r="CD26" i="29" s="1"/>
  <c r="CF25" i="29" l="1" a="1"/>
  <c r="CF25" i="29" s="1"/>
  <c r="CM25" i="29" a="1"/>
  <c r="CM25" i="29" s="1"/>
  <c r="BQ25" i="29" a="1"/>
  <c r="BQ25" i="29" s="1"/>
  <c r="DU27" i="29" a="1"/>
  <c r="DU27" i="29" s="1"/>
  <c r="M26" i="29" a="1"/>
  <c r="M26" i="29" s="1"/>
  <c r="F42" i="29" s="1"/>
  <c r="I42" i="29" s="1"/>
  <c r="CF26" i="29" a="1"/>
  <c r="CF26" i="29" s="1"/>
  <c r="CE26" i="29" a="1"/>
  <c r="CE26" i="29" s="1"/>
  <c r="BG26" i="29" a="1"/>
  <c r="BG26" i="29" s="1"/>
  <c r="AN26" i="29" a="1"/>
  <c r="AN26" i="29" s="1"/>
  <c r="CY26" i="29" a="1"/>
  <c r="CY26" i="29" s="1"/>
  <c r="BV26" i="29" a="1"/>
  <c r="BV26" i="29" s="1"/>
  <c r="DU26" i="29" a="1"/>
  <c r="DU26" i="29" s="1"/>
  <c r="BZ26" i="29" a="1"/>
  <c r="BZ26" i="29" s="1"/>
  <c r="AG26" i="29" a="1"/>
  <c r="AG26" i="29" s="1"/>
  <c r="L26" i="29" a="1"/>
  <c r="L26" i="29" s="1"/>
  <c r="F41" i="29" s="1"/>
  <c r="I41" i="29" s="1"/>
  <c r="CQ26" i="29" a="1"/>
  <c r="CQ26" i="29" s="1"/>
  <c r="CC26" i="29" a="1"/>
  <c r="CC26" i="29" s="1"/>
  <c r="U26" i="29" a="1"/>
  <c r="U26" i="29" s="1"/>
  <c r="BO26" i="29" a="1"/>
  <c r="BO26" i="29" s="1"/>
  <c r="BT26" i="29" a="1"/>
  <c r="BT26" i="29" s="1"/>
  <c r="CI26" i="29" a="1"/>
  <c r="CI26" i="29" s="1"/>
  <c r="AH26" i="29" a="1"/>
  <c r="AH26" i="29" s="1"/>
  <c r="D26" i="29" a="1"/>
  <c r="D26" i="29" s="1"/>
  <c r="F33" i="29" s="1"/>
  <c r="I33" i="29" s="1"/>
  <c r="DB26" i="29" a="1"/>
  <c r="DB26" i="29" s="1"/>
  <c r="AS26" i="29" a="1"/>
  <c r="AS26" i="29" s="1"/>
  <c r="DD26" i="29" a="1"/>
  <c r="DD26" i="29" s="1"/>
  <c r="CG26" i="29" a="1"/>
  <c r="CG26" i="29" s="1"/>
  <c r="CA26" i="29" a="1"/>
  <c r="CA26" i="29" s="1"/>
  <c r="DJ26" i="29" a="1"/>
  <c r="DJ26" i="29" s="1"/>
  <c r="AF26" i="29" a="1"/>
  <c r="AF26" i="29" s="1"/>
  <c r="AJ26" i="29" a="1"/>
  <c r="AJ26" i="29" s="1"/>
  <c r="DV26" i="29" a="1"/>
  <c r="DV26" i="29" s="1"/>
  <c r="BS26" i="29" a="1"/>
  <c r="BS26" i="29" s="1"/>
  <c r="K26" i="29" a="1"/>
  <c r="K26" i="29" s="1"/>
  <c r="F40" i="29" s="1"/>
  <c r="I40" i="29" s="1"/>
  <c r="AX26" i="29" a="1"/>
  <c r="AX26" i="29" s="1"/>
  <c r="BA26" i="29" a="1"/>
  <c r="BA26" i="29" s="1"/>
  <c r="AT26" i="29" a="1"/>
  <c r="AT26" i="29" s="1"/>
  <c r="CT26" i="29" a="1"/>
  <c r="CT26" i="29" s="1"/>
  <c r="DW26" i="29" a="1"/>
  <c r="DW26" i="29" s="1"/>
  <c r="AP26" i="29" a="1"/>
  <c r="AP26" i="29" s="1"/>
  <c r="CW26" i="29" a="1"/>
  <c r="CW26" i="29" s="1"/>
  <c r="AK26" i="29" a="1"/>
  <c r="AK26" i="29" s="1"/>
  <c r="DF26" i="29" a="1"/>
  <c r="DF26" i="29" s="1"/>
  <c r="CO26" i="29" a="1"/>
  <c r="CO26" i="29" s="1"/>
  <c r="BB26" i="29" a="1"/>
  <c r="BB26" i="29" s="1"/>
  <c r="DH26" i="29" a="1"/>
  <c r="DH26" i="29" s="1"/>
  <c r="CV26" i="29" a="1"/>
  <c r="CV26" i="29" s="1"/>
  <c r="V26" i="29" a="1"/>
  <c r="V26" i="29" s="1"/>
  <c r="E26" i="29" a="1"/>
  <c r="E26" i="29" s="1"/>
  <c r="F34" i="29" s="1"/>
  <c r="I34" i="29" s="1"/>
  <c r="BX26" i="29" a="1"/>
  <c r="BX26" i="29" s="1"/>
  <c r="DT26" i="29" a="1"/>
  <c r="DT26" i="29" s="1"/>
  <c r="H26" i="29" a="1"/>
  <c r="H26" i="29" s="1"/>
  <c r="F37" i="29" s="1"/>
  <c r="I37" i="29" s="1"/>
  <c r="Z26" i="29" a="1"/>
  <c r="Z26" i="29" s="1"/>
  <c r="W26" i="29" a="1"/>
  <c r="W26" i="29" s="1"/>
  <c r="BM26" i="29" a="1"/>
  <c r="BM26" i="29" s="1"/>
  <c r="AQ26" i="29" a="1"/>
  <c r="AQ26" i="29" s="1"/>
  <c r="Q26" i="29" a="1"/>
  <c r="Q26" i="29" s="1"/>
  <c r="DC26" i="29" a="1"/>
  <c r="DC26" i="29" s="1"/>
  <c r="O26" i="29" a="1"/>
  <c r="O26" i="29" s="1"/>
  <c r="F44" i="29" s="1"/>
  <c r="I44" i="29" s="1"/>
  <c r="AI26" i="29" a="1"/>
  <c r="AI26" i="29" s="1"/>
  <c r="BF26" i="29" a="1"/>
  <c r="BF26" i="29" s="1"/>
  <c r="CN26" i="29" a="1"/>
  <c r="CN26" i="29" s="1"/>
  <c r="R26" i="29" a="1"/>
  <c r="R26" i="29" s="1"/>
  <c r="CJ26" i="29" a="1"/>
  <c r="CJ26" i="29" s="1"/>
  <c r="CS26" i="29" a="1"/>
  <c r="CS26" i="29" s="1"/>
  <c r="BU26" i="29" a="1"/>
  <c r="BU26" i="29" s="1"/>
  <c r="BD26" i="29" a="1"/>
  <c r="BD26" i="29" s="1"/>
  <c r="S26" i="29" a="1"/>
  <c r="S26" i="29" s="1"/>
  <c r="AA26" i="29" a="1"/>
  <c r="AA26" i="29" s="1"/>
  <c r="DG26" i="29" a="1"/>
  <c r="DG26" i="29" s="1"/>
  <c r="EB26" i="29" a="1"/>
  <c r="EB26" i="29" s="1"/>
  <c r="AY26" i="29" a="1"/>
  <c r="AY26" i="29" s="1"/>
  <c r="DR26" i="29" a="1"/>
  <c r="DR26" i="29" s="1"/>
  <c r="CB26" i="29" a="1"/>
  <c r="CB26" i="29" s="1"/>
  <c r="DE26" i="29" a="1"/>
  <c r="DE26" i="29" s="1"/>
  <c r="BH26" i="29" a="1"/>
  <c r="BH26" i="29" s="1"/>
  <c r="AB26" i="29" a="1"/>
  <c r="AB26" i="29" s="1"/>
  <c r="AL26" i="29" a="1"/>
  <c r="AL26" i="29" s="1"/>
  <c r="AM26" i="29" a="1"/>
  <c r="AM26" i="29" s="1"/>
  <c r="N26" i="29" a="1"/>
  <c r="N26" i="29" s="1"/>
  <c r="F43" i="29" s="1"/>
  <c r="I43" i="29" s="1"/>
  <c r="BY26" i="29" a="1"/>
  <c r="BY26" i="29" s="1"/>
  <c r="AD26" i="29" a="1"/>
  <c r="AD26" i="29" s="1"/>
  <c r="AE26" i="29" a="1"/>
  <c r="AE26" i="29" s="1"/>
  <c r="DM26" i="29" a="1"/>
  <c r="DM26" i="29" s="1"/>
  <c r="EB25" i="29" a="1"/>
  <c r="EB25" i="29" s="1"/>
  <c r="BQ27" i="29" a="1"/>
  <c r="BQ27" i="29" s="1"/>
  <c r="R25" i="29" a="1"/>
  <c r="R25" i="29" s="1"/>
  <c r="AM25" i="29" a="1"/>
  <c r="AM25" i="29" s="1"/>
  <c r="CX25" i="29" a="1"/>
  <c r="CX25" i="29" s="1"/>
  <c r="DU25" i="29" a="1"/>
  <c r="DU25" i="29" s="1"/>
  <c r="H27" i="29" a="1"/>
  <c r="H27" i="29" s="1"/>
  <c r="G37" i="29" s="1"/>
  <c r="J37" i="29" s="1"/>
  <c r="DB25" i="29" a="1"/>
  <c r="DB25" i="29" s="1"/>
  <c r="U25" i="29" a="1"/>
  <c r="U25" i="29" s="1"/>
  <c r="BU27" i="29" a="1"/>
  <c r="BU27" i="29" s="1"/>
  <c r="O27" i="29" a="1"/>
  <c r="O27" i="29" s="1"/>
  <c r="G44" i="29" s="1"/>
  <c r="J44" i="29" s="1"/>
  <c r="DH27" i="29" a="1"/>
  <c r="DH27" i="29" s="1"/>
  <c r="AW25" i="29" a="1"/>
  <c r="AW25" i="29" s="1"/>
  <c r="AK25" i="29" a="1"/>
  <c r="AK25" i="29" s="1"/>
  <c r="AZ27" i="29" a="1"/>
  <c r="AZ27" i="29" s="1"/>
  <c r="T27" i="29" a="1"/>
  <c r="T27" i="29" s="1"/>
  <c r="DI27" i="29" a="1"/>
  <c r="DI27" i="29" s="1"/>
  <c r="Y25" i="29" a="1"/>
  <c r="Y25" i="29" s="1"/>
  <c r="DG25" i="29" a="1"/>
  <c r="DG25" i="29" s="1"/>
  <c r="CH27" i="29" a="1"/>
  <c r="CH27" i="29" s="1"/>
  <c r="BD25" i="29" a="1"/>
  <c r="BD25" i="29" s="1"/>
  <c r="BF25" i="29" a="1"/>
  <c r="BF25" i="29" s="1"/>
  <c r="AP27" i="29" a="1"/>
  <c r="AP27" i="29" s="1"/>
  <c r="BT27" i="29" a="1"/>
  <c r="BT27" i="29" s="1"/>
  <c r="BB27" i="29" a="1"/>
  <c r="BB27" i="29" s="1"/>
  <c r="M25" i="29" a="1"/>
  <c r="M25" i="29" s="1"/>
  <c r="E42" i="29" s="1"/>
  <c r="H42" i="29" s="1"/>
  <c r="CP27" i="29" a="1"/>
  <c r="CP27" i="29" s="1"/>
  <c r="V27" i="29" a="1"/>
  <c r="V27" i="29" s="1"/>
  <c r="S27" i="29" a="1"/>
  <c r="S27" i="29" s="1"/>
  <c r="F27" i="29" a="1"/>
  <c r="F27" i="29" s="1"/>
  <c r="G35" i="29" s="1"/>
  <c r="J35" i="29" s="1"/>
  <c r="CE27" i="29" a="1"/>
  <c r="CE27" i="29" s="1"/>
  <c r="AT27" i="29" a="1"/>
  <c r="AT27" i="29" s="1"/>
  <c r="BH27" i="29" a="1"/>
  <c r="BH27" i="29" s="1"/>
  <c r="BM25" i="29" a="1"/>
  <c r="BM25" i="29" s="1"/>
  <c r="BM27" i="29" a="1"/>
  <c r="BM27" i="29" s="1"/>
  <c r="AR25" i="29" a="1"/>
  <c r="AR25" i="29" s="1"/>
  <c r="CB27" i="29" a="1"/>
  <c r="CB27" i="29" s="1"/>
  <c r="BN27" i="29" a="1"/>
  <c r="BN27" i="29" s="1"/>
  <c r="AT25" i="29" a="1"/>
  <c r="AT25" i="29" s="1"/>
  <c r="Z25" i="29" a="1"/>
  <c r="Z25" i="29" s="1"/>
  <c r="CI25" i="29" a="1"/>
  <c r="CI25" i="29" s="1"/>
  <c r="CD27" i="29" a="1"/>
  <c r="CD27" i="29" s="1"/>
  <c r="CU25" i="29" a="1"/>
  <c r="CU25" i="29" s="1"/>
  <c r="BY27" i="29" a="1"/>
  <c r="BY27" i="29" s="1"/>
  <c r="AH27" i="29" a="1"/>
  <c r="AH27" i="29" s="1"/>
  <c r="CV25" i="29" a="1"/>
  <c r="CV25" i="29" s="1"/>
  <c r="DK25" i="29" a="1"/>
  <c r="DK25" i="29" s="1"/>
  <c r="BE27" i="29" a="1"/>
  <c r="BE27" i="29" s="1"/>
  <c r="DD25" i="29" a="1"/>
  <c r="DD25" i="29" s="1"/>
  <c r="CI27" i="29" a="1"/>
  <c r="CI27" i="29" s="1"/>
  <c r="I25" i="29" a="1"/>
  <c r="I25" i="29" s="1"/>
  <c r="E38" i="29" s="1"/>
  <c r="H38" i="29" s="1"/>
  <c r="DW27" i="29" a="1"/>
  <c r="DW27" i="29" s="1"/>
  <c r="DQ27" i="29" a="1"/>
  <c r="DQ27" i="29" s="1"/>
  <c r="DD27" i="29" a="1"/>
  <c r="DD27" i="29" s="1"/>
  <c r="AN27" i="29" a="1"/>
  <c r="AN27" i="29" s="1"/>
  <c r="DV27" i="29" a="1"/>
  <c r="DV27" i="29" s="1"/>
  <c r="BC27" i="29" a="1"/>
  <c r="BC27" i="29" s="1"/>
  <c r="CS27" i="29" a="1"/>
  <c r="CS27" i="29" s="1"/>
  <c r="U27" i="29" a="1"/>
  <c r="U27" i="29" s="1"/>
  <c r="CG25" i="29" a="1"/>
  <c r="CG25" i="29" s="1"/>
  <c r="DL25" i="29" a="1"/>
  <c r="DL25" i="29" s="1"/>
  <c r="DX25" i="29" a="1"/>
  <c r="DX25" i="29" s="1"/>
  <c r="M27" i="29" a="1"/>
  <c r="M27" i="29" s="1"/>
  <c r="G42" i="29" s="1"/>
  <c r="J42" i="29" s="1"/>
  <c r="BI25" i="29" a="1"/>
  <c r="BI25" i="29" s="1"/>
  <c r="CP25" i="29" a="1"/>
  <c r="CP25" i="29" s="1"/>
  <c r="BU25" i="29" a="1"/>
  <c r="BU25" i="29" s="1"/>
  <c r="CE25" i="29" a="1"/>
  <c r="CE25" i="29" s="1"/>
  <c r="N25" i="29" a="1"/>
  <c r="N25" i="29" s="1"/>
  <c r="E43" i="29" s="1"/>
  <c r="H43" i="29" s="1"/>
  <c r="CF27" i="29" a="1"/>
  <c r="CF27" i="29" s="1"/>
  <c r="AQ27" i="29" a="1"/>
  <c r="AQ27" i="29" s="1"/>
  <c r="DE25" i="29" a="1"/>
  <c r="DE25" i="29" s="1"/>
  <c r="DJ25" i="29" a="1"/>
  <c r="DJ25" i="29" s="1"/>
  <c r="T25" i="29" a="1"/>
  <c r="T25" i="29" s="1"/>
  <c r="AY27" i="29" a="1"/>
  <c r="AY27" i="29" s="1"/>
  <c r="CS25" i="29" a="1"/>
  <c r="CS25" i="29" s="1"/>
  <c r="CQ27" i="29" a="1"/>
  <c r="CQ27" i="29" s="1"/>
  <c r="EB27" i="29" a="1"/>
  <c r="EB27" i="29" s="1"/>
  <c r="AB27" i="29" a="1"/>
  <c r="AB27" i="29" s="1"/>
  <c r="AE25" i="29" a="1"/>
  <c r="AE25" i="29" s="1"/>
  <c r="S25" i="29" a="1"/>
  <c r="S25" i="29" s="1"/>
  <c r="V25" i="29" a="1"/>
  <c r="V25" i="29" s="1"/>
  <c r="CR27" i="29" a="1"/>
  <c r="CR27" i="29" s="1"/>
  <c r="AO25" i="29" a="1"/>
  <c r="AO25" i="29" s="1"/>
  <c r="AF25" i="29" a="1"/>
  <c r="AF25" i="29" s="1"/>
  <c r="W25" i="29" a="1"/>
  <c r="W25" i="29" s="1"/>
  <c r="D27" i="29" a="1"/>
  <c r="D27" i="29" s="1"/>
  <c r="G33" i="29" s="1"/>
  <c r="J33" i="29" s="1"/>
  <c r="BP25" i="29" a="1"/>
  <c r="BP25" i="29" s="1"/>
  <c r="BK27" i="29" a="1"/>
  <c r="BK27" i="29" s="1"/>
  <c r="BI27" i="29" a="1"/>
  <c r="BI27" i="29" s="1"/>
  <c r="AX25" i="29" a="1"/>
  <c r="AX25" i="29" s="1"/>
  <c r="DV25" i="29" a="1"/>
  <c r="DV25" i="29" s="1"/>
  <c r="BG27" i="29" a="1"/>
  <c r="BG27" i="29" s="1"/>
  <c r="DI25" i="29" a="1"/>
  <c r="DI25" i="29" s="1"/>
  <c r="DT25" i="29" a="1"/>
  <c r="DT25" i="29" s="1"/>
  <c r="B27" i="29" a="1"/>
  <c r="B27" i="29" s="1"/>
  <c r="G31" i="29" s="1"/>
  <c r="J31" i="29" s="1"/>
  <c r="DR25" i="29" a="1"/>
  <c r="DR25" i="29" s="1"/>
  <c r="CY27" i="29" a="1"/>
  <c r="CY27" i="29" s="1"/>
  <c r="CV27" i="29" a="1"/>
  <c r="CV27" i="29" s="1"/>
  <c r="BG25" i="29" a="1"/>
  <c r="BG25" i="29" s="1"/>
  <c r="DY25" i="29" a="1"/>
  <c r="DY25" i="29" s="1"/>
  <c r="W27" i="29" a="1"/>
  <c r="W27" i="29" s="1"/>
  <c r="CH25" i="29" a="1"/>
  <c r="CH25" i="29" s="1"/>
  <c r="E25" i="29" a="1"/>
  <c r="E25" i="29" s="1"/>
  <c r="E34" i="29" s="1"/>
  <c r="H34" i="29" s="1"/>
  <c r="EA27" i="29" a="1"/>
  <c r="EA27" i="29" s="1"/>
  <c r="CK25" i="29" a="1"/>
  <c r="CK25" i="29" s="1"/>
  <c r="E27" i="29" a="1"/>
  <c r="E27" i="29" s="1"/>
  <c r="G34" i="29" s="1"/>
  <c r="J34" i="29" s="1"/>
  <c r="DQ25" i="29" a="1"/>
  <c r="DQ25" i="29" s="1"/>
  <c r="CZ25" i="29" a="1"/>
  <c r="CZ25" i="29" s="1"/>
  <c r="BH25" i="29" a="1"/>
  <c r="BH25" i="29" s="1"/>
  <c r="AJ27" i="29" a="1"/>
  <c r="AJ27" i="29" s="1"/>
  <c r="AU27" i="29" a="1"/>
  <c r="AU27" i="29" s="1"/>
  <c r="AA25" i="29" a="1"/>
  <c r="AA25" i="29" s="1"/>
  <c r="BO27" i="29" a="1"/>
  <c r="BO27" i="29" s="1"/>
  <c r="DR27" i="29" a="1"/>
  <c r="DR27" i="29" s="1"/>
  <c r="CL27" i="29" a="1"/>
  <c r="CL27" i="29" s="1"/>
  <c r="L27" i="29" a="1"/>
  <c r="L27" i="29" s="1"/>
  <c r="G41" i="29" s="1"/>
  <c r="J41" i="29" s="1"/>
  <c r="AH25" i="29" a="1"/>
  <c r="AH25" i="29" s="1"/>
  <c r="CN27" i="29" a="1"/>
  <c r="CN27" i="29" s="1"/>
  <c r="AP25" i="29" a="1"/>
  <c r="AP25" i="29" s="1"/>
  <c r="BV27" i="29" a="1"/>
  <c r="BV27" i="29" s="1"/>
  <c r="AL25" i="29" a="1"/>
  <c r="AL25" i="29" s="1"/>
  <c r="D25" i="29" a="1"/>
  <c r="D25" i="29" s="1"/>
  <c r="E33" i="29" s="1"/>
  <c r="H33" i="29" s="1"/>
  <c r="CD25" i="29" a="1"/>
  <c r="CD25" i="29" s="1"/>
  <c r="BX27" i="29" a="1"/>
  <c r="BX27" i="29" s="1"/>
  <c r="DH25" i="29" a="1"/>
  <c r="DH25" i="29" s="1"/>
  <c r="CU27" i="29" a="1"/>
  <c r="CU27" i="29" s="1"/>
  <c r="DM27" i="29" a="1"/>
  <c r="DM27" i="29" s="1"/>
  <c r="AI27" i="29" a="1"/>
  <c r="AI27" i="29" s="1"/>
  <c r="C25" i="29" a="1"/>
  <c r="C25" i="29" s="1"/>
  <c r="E32" i="29" s="1"/>
  <c r="H32" i="29" s="1"/>
  <c r="X27" i="29" a="1"/>
  <c r="X27" i="29" s="1"/>
  <c r="CW27" i="29" a="1"/>
  <c r="CW27" i="29" s="1"/>
  <c r="CO27" i="29" a="1"/>
  <c r="CO27" i="29" s="1"/>
  <c r="B25" i="29" a="1"/>
  <c r="B25" i="29" s="1"/>
  <c r="E31" i="29" s="1"/>
  <c r="H31" i="29" s="1"/>
  <c r="AC27" i="29" a="1"/>
  <c r="AC27" i="29" s="1"/>
  <c r="CW25" i="29" a="1"/>
  <c r="CW25" i="29" s="1"/>
  <c r="P27" i="29" a="1"/>
  <c r="P27" i="29" s="1"/>
  <c r="G45" i="29" s="1"/>
  <c r="J45" i="29" s="1"/>
  <c r="DF27" i="29" a="1"/>
  <c r="DF27" i="29" s="1"/>
  <c r="BY25" i="29" a="1"/>
  <c r="BY25" i="29" s="1"/>
  <c r="DJ27" i="29" a="1"/>
  <c r="DJ27" i="29" s="1"/>
  <c r="BT25" i="29" a="1"/>
  <c r="BT25" i="29" s="1"/>
  <c r="CA27" i="29" a="1"/>
  <c r="CA27" i="29" s="1"/>
  <c r="AG27" i="29" a="1"/>
  <c r="AG27" i="29" s="1"/>
  <c r="Z27" i="29" a="1"/>
  <c r="Z27" i="29" s="1"/>
  <c r="AC25" i="29" a="1"/>
  <c r="AC25" i="29" s="1"/>
  <c r="CT27" i="29" a="1"/>
  <c r="CT27" i="29" s="1"/>
  <c r="J25" i="29" a="1"/>
  <c r="J25" i="29" s="1"/>
  <c r="E39" i="29" s="1"/>
  <c r="H39" i="29" s="1"/>
  <c r="BR25" i="29" a="1"/>
  <c r="BR25" i="29" s="1"/>
  <c r="AF27" i="29" a="1"/>
  <c r="AF27" i="29" s="1"/>
  <c r="EA25" i="29" a="1"/>
  <c r="EA25" i="29" s="1"/>
  <c r="DO25" i="29" a="1"/>
  <c r="DO25" i="29" s="1"/>
  <c r="DF25" i="29" a="1"/>
  <c r="DF25" i="29" s="1"/>
  <c r="BX25" i="29" a="1"/>
  <c r="BX25" i="29" s="1"/>
  <c r="P25" i="29" a="1"/>
  <c r="P25" i="29" s="1"/>
  <c r="E45" i="29" s="1"/>
  <c r="H45" i="29" s="1"/>
  <c r="DN25" i="29" a="1"/>
  <c r="DN25" i="29" s="1"/>
  <c r="BC25" i="29" a="1"/>
  <c r="BC25" i="29" s="1"/>
  <c r="AN25" i="29" a="1"/>
  <c r="AN25" i="29" s="1"/>
  <c r="CR25" i="29" a="1"/>
  <c r="CR25" i="29" s="1"/>
  <c r="I27" i="29" a="1"/>
  <c r="I27" i="29" s="1"/>
  <c r="G38" i="29" s="1"/>
  <c r="J38" i="29" s="1"/>
  <c r="BW25" i="29" a="1"/>
  <c r="BW25" i="29" s="1"/>
  <c r="AQ25" i="29" a="1"/>
  <c r="AQ25" i="29" s="1"/>
  <c r="DB27" i="29" a="1"/>
  <c r="DB27" i="29" s="1"/>
  <c r="Q27" i="29" a="1"/>
  <c r="Q27" i="29" s="1"/>
  <c r="G27" i="29" a="1"/>
  <c r="G27" i="29" s="1"/>
  <c r="G36" i="29" s="1"/>
  <c r="J36" i="29" s="1"/>
  <c r="CL25" i="29" a="1"/>
  <c r="CL25" i="29" s="1"/>
  <c r="J27" i="29" a="1"/>
  <c r="J27" i="29" s="1"/>
  <c r="G39" i="29" s="1"/>
  <c r="J39" i="29" s="1"/>
  <c r="R27" i="29" a="1"/>
  <c r="R27" i="29" s="1"/>
  <c r="AY25" i="29" a="1"/>
  <c r="AY25" i="29" s="1"/>
  <c r="AJ25" i="29" a="1"/>
  <c r="AJ25" i="29" s="1"/>
  <c r="Q25" i="29" a="1"/>
  <c r="Q25" i="29" s="1"/>
  <c r="CB25" i="29" a="1"/>
  <c r="CB25" i="29" s="1"/>
  <c r="BS25" i="29" a="1"/>
  <c r="BS25" i="29" s="1"/>
  <c r="BS27" i="29" a="1"/>
  <c r="BS27" i="29" s="1"/>
  <c r="CQ25" i="29" a="1"/>
  <c r="CQ25" i="29" s="1"/>
  <c r="AB25" i="29" a="1"/>
  <c r="AB25" i="29" s="1"/>
  <c r="CX27" i="29" a="1"/>
  <c r="CX27" i="29" s="1"/>
  <c r="CM27" i="29" a="1"/>
  <c r="CM27" i="29" s="1"/>
  <c r="BD27" i="29" a="1"/>
  <c r="BD27" i="29" s="1"/>
  <c r="AD27" i="29" a="1"/>
  <c r="AD27" i="29" s="1"/>
  <c r="AS27" i="29" a="1"/>
  <c r="AS27" i="29" s="1"/>
  <c r="CZ27" i="29" a="1"/>
  <c r="CZ27" i="29" s="1"/>
  <c r="BN25" i="29" a="1"/>
  <c r="BN25" i="29" s="1"/>
  <c r="CK27" i="29" a="1"/>
  <c r="CK27" i="29" s="1"/>
  <c r="BK25" i="29" a="1"/>
  <c r="BK25" i="29" s="1"/>
  <c r="Y27" i="29" a="1"/>
  <c r="Y27" i="29" s="1"/>
  <c r="BE25" i="29" a="1"/>
  <c r="BE25" i="29" s="1"/>
  <c r="BL25" i="29" a="1"/>
  <c r="BL25" i="29" s="1"/>
  <c r="CJ27" i="29" a="1"/>
  <c r="CJ27" i="29" s="1"/>
  <c r="DG27" i="29" a="1"/>
  <c r="DG27" i="29" s="1"/>
  <c r="DK27" i="29" a="1"/>
  <c r="DK27" i="29" s="1"/>
  <c r="BA27" i="29" a="1"/>
  <c r="BA27" i="29" s="1"/>
  <c r="DE27" i="29" a="1"/>
  <c r="DE27" i="29" s="1"/>
  <c r="CY25" i="29" a="1"/>
  <c r="CY25" i="29" s="1"/>
  <c r="BF27" i="29" a="1"/>
  <c r="BF27" i="29" s="1"/>
  <c r="DX27" i="29" a="1"/>
  <c r="DX27" i="29" s="1"/>
  <c r="AX27" i="29" a="1"/>
  <c r="AX27" i="29" s="1"/>
  <c r="DY27" i="29" a="1"/>
  <c r="DY27" i="29" s="1"/>
  <c r="DN27" i="29" a="1"/>
  <c r="DN27" i="29" s="1"/>
  <c r="AV25" i="29" a="1"/>
  <c r="AV25" i="29" s="1"/>
  <c r="AA27" i="29" a="1"/>
  <c r="AA27" i="29" s="1"/>
  <c r="BR27" i="29" a="1"/>
  <c r="BR27" i="29" s="1"/>
  <c r="DA27" i="29" a="1"/>
  <c r="DA27" i="29" s="1"/>
  <c r="DT27" i="29" a="1"/>
  <c r="DT27" i="29" s="1"/>
  <c r="BW27" i="29" a="1"/>
  <c r="BW27" i="29" s="1"/>
  <c r="CN25" i="29" a="1"/>
  <c r="CN25" i="29" s="1"/>
  <c r="C27" i="29" a="1"/>
  <c r="C27" i="29" s="1"/>
  <c r="G32" i="29" s="1"/>
  <c r="J32" i="29" s="1"/>
  <c r="BO25" i="29" a="1"/>
  <c r="BO25" i="29" s="1"/>
  <c r="BV25" i="29" a="1"/>
  <c r="BV25" i="29" s="1"/>
  <c r="DZ25" i="29" a="1"/>
  <c r="DZ25" i="29" s="1"/>
  <c r="DC27" i="29" a="1"/>
  <c r="DC27" i="29" s="1"/>
  <c r="DW25" i="29" a="1"/>
  <c r="DW25" i="29" s="1"/>
  <c r="N27" i="29" a="1"/>
  <c r="N27" i="29" s="1"/>
  <c r="G43" i="29" s="1"/>
  <c r="J43" i="29" s="1"/>
  <c r="DP27" i="29" a="1"/>
  <c r="DP27" i="29" s="1"/>
  <c r="CJ25" i="29" a="1"/>
  <c r="CJ25" i="29" s="1"/>
  <c r="AG25" i="29" a="1"/>
  <c r="AG25" i="29" s="1"/>
  <c r="CA25" i="29" a="1"/>
  <c r="CA25" i="29" s="1"/>
  <c r="AK27" i="29" a="1"/>
  <c r="AK27" i="29" s="1"/>
  <c r="AR27" i="29" a="1"/>
  <c r="AR27" i="29" s="1"/>
  <c r="CC27" i="29" a="1"/>
  <c r="CC27" i="29" s="1"/>
  <c r="BL27" i="29" a="1"/>
  <c r="BL27" i="29" s="1"/>
  <c r="AI25" i="29" a="1"/>
  <c r="AI25" i="29" s="1"/>
  <c r="DS27" i="29" a="1"/>
  <c r="DS27" i="29" s="1"/>
  <c r="BZ25" i="29" a="1"/>
  <c r="BZ25" i="29" s="1"/>
  <c r="BJ25" i="29" a="1"/>
  <c r="BJ25" i="29" s="1"/>
  <c r="DA25" i="29" a="1"/>
  <c r="DA25" i="29" s="1"/>
  <c r="DZ27" i="29" a="1"/>
  <c r="DZ27" i="29" s="1"/>
  <c r="AM27" i="29" a="1"/>
  <c r="AM27" i="29" s="1"/>
  <c r="L25" i="29" a="1"/>
  <c r="L25" i="29" s="1"/>
  <c r="E41" i="29" s="1"/>
  <c r="H41" i="29" s="1"/>
  <c r="X25" i="29" a="1"/>
  <c r="X25" i="29" s="1"/>
  <c r="CC25" i="29" a="1"/>
  <c r="CC25" i="29" s="1"/>
  <c r="DO27" i="29" a="1"/>
  <c r="DO27" i="29" s="1"/>
  <c r="K25" i="29" a="1"/>
  <c r="K25" i="29" s="1"/>
  <c r="E40" i="29" s="1"/>
  <c r="H40" i="29" s="1"/>
  <c r="BP27" i="29" a="1"/>
  <c r="BP27" i="29" s="1"/>
  <c r="DL27" i="29" a="1"/>
  <c r="DL27" i="29" s="1"/>
  <c r="BZ27" i="29" a="1"/>
  <c r="BZ27" i="29" s="1"/>
  <c r="DP25" i="29" a="1"/>
  <c r="DP25" i="29" s="1"/>
  <c r="DM25" i="29" a="1"/>
  <c r="DM25" i="29" s="1"/>
  <c r="AD25" i="29" a="1"/>
  <c r="AD25" i="29" s="1"/>
  <c r="AS25" i="29" a="1"/>
  <c r="AS25" i="29" s="1"/>
  <c r="F25" i="29" a="1"/>
  <c r="F25" i="29" s="1"/>
  <c r="E35" i="29" s="1"/>
  <c r="H35" i="29" s="1"/>
  <c r="DS25" i="29" a="1"/>
  <c r="DS25" i="29" s="1"/>
  <c r="DC25" i="29" a="1"/>
  <c r="DC25" i="29" s="1"/>
  <c r="K27" i="29" a="1"/>
  <c r="K27" i="29" s="1"/>
  <c r="G40" i="29" s="1"/>
  <c r="J40" i="29" s="1"/>
  <c r="AZ25" i="29" a="1"/>
  <c r="AZ25" i="29" s="1"/>
  <c r="BJ27" i="29" a="1"/>
  <c r="BJ27" i="29" s="1"/>
  <c r="AL27" i="29" a="1"/>
  <c r="AL27" i="29" s="1"/>
  <c r="AV27" i="29" a="1"/>
  <c r="AV27" i="29" s="1"/>
  <c r="BB25" i="29" a="1"/>
  <c r="BB25" i="29" s="1"/>
  <c r="G25" i="29" a="1"/>
  <c r="G25" i="29" s="1"/>
  <c r="E36" i="29" s="1"/>
  <c r="H36" i="29" s="1"/>
  <c r="O25" i="29" a="1"/>
  <c r="O25" i="29" s="1"/>
  <c r="E44" i="29" s="1"/>
  <c r="H44" i="29" s="1"/>
  <c r="AO27" i="29" a="1"/>
  <c r="AO27" i="29" s="1"/>
  <c r="AU25" i="29" a="1"/>
  <c r="AU25" i="29" s="1"/>
  <c r="CT25" i="29" a="1"/>
  <c r="CT25" i="29" s="1"/>
  <c r="AW27" i="29" a="1"/>
  <c r="AW27" i="29" s="1"/>
  <c r="CO25" i="29" a="1"/>
  <c r="CO25" i="29" s="1"/>
  <c r="AE27" i="29" a="1"/>
  <c r="AE27" i="29" s="1"/>
  <c r="H25" i="29" a="1"/>
  <c r="H25" i="29" s="1"/>
  <c r="E37" i="29" s="1"/>
  <c r="H37" i="29" s="1"/>
  <c r="CG27" i="29" a="1"/>
  <c r="CG27" i="29" s="1"/>
  <c r="I31" i="29"/>
  <c r="I46" i="29" s="1"/>
  <c r="J46" i="29" l="1"/>
  <c r="F46" i="29"/>
  <c r="G46" i="29"/>
  <c r="E46" i="29"/>
  <c r="H46" i="29"/>
</calcChain>
</file>

<file path=xl/sharedStrings.xml><?xml version="1.0" encoding="utf-8"?>
<sst xmlns="http://schemas.openxmlformats.org/spreadsheetml/2006/main" count="4024" uniqueCount="662">
  <si>
    <t>Revisar las instrucciones</t>
  </si>
  <si>
    <t>Ver el último resumen guardado</t>
  </si>
  <si>
    <t>Dar mantenimiento a las bases</t>
  </si>
  <si>
    <t>Users</t>
  </si>
  <si>
    <t>password</t>
  </si>
  <si>
    <t>pportocarrero</t>
  </si>
  <si>
    <t>role</t>
  </si>
  <si>
    <t>admin</t>
  </si>
  <si>
    <t>active user</t>
  </si>
  <si>
    <t>Revisar los indicadores financieros del día</t>
  </si>
  <si>
    <t>Intercambio de bonos</t>
  </si>
  <si>
    <t>Prepago de créditos</t>
  </si>
  <si>
    <t>instrucciones</t>
  </si>
  <si>
    <t>resumen</t>
  </si>
  <si>
    <t>indicadores</t>
  </si>
  <si>
    <t>bd_bonos</t>
  </si>
  <si>
    <t>prepago</t>
  </si>
  <si>
    <t>intercambio</t>
  </si>
  <si>
    <t>Indicadores bursátiles</t>
  </si>
  <si>
    <t>Último</t>
  </si>
  <si>
    <t>Var. pts.</t>
  </si>
  <si>
    <t>Var. %</t>
  </si>
  <si>
    <t>ytd%</t>
  </si>
  <si>
    <t>Dow Jones 30</t>
  </si>
  <si>
    <t>S&amp;P 500</t>
  </si>
  <si>
    <t>Shanghai Composite</t>
  </si>
  <si>
    <t>Nasdaq 100</t>
  </si>
  <si>
    <t>Stoxx 600</t>
  </si>
  <si>
    <t>FTSE 100</t>
  </si>
  <si>
    <t>Nikkei 225</t>
  </si>
  <si>
    <t>VIX Index</t>
  </si>
  <si>
    <t>IPSA Index</t>
  </si>
  <si>
    <t>Ibovespa</t>
  </si>
  <si>
    <t>S&amp;P/CLX IPSA</t>
  </si>
  <si>
    <t>S&amp;P/BVL PERU GEN</t>
  </si>
  <si>
    <t>COLCAP</t>
  </si>
  <si>
    <t>S&amp;P/BMV IPC</t>
  </si>
  <si>
    <t>Materias primas</t>
  </si>
  <si>
    <t>Cobre - COMEX (US$/lb)</t>
  </si>
  <si>
    <t>Petróleo WTI (US$/barril)</t>
  </si>
  <si>
    <t>Oro (US$/oz. troy)</t>
  </si>
  <si>
    <t>Petróleo Brent (US$/barril)</t>
  </si>
  <si>
    <t>Plata (US$/oz. troy)</t>
  </si>
  <si>
    <t>Var.</t>
  </si>
  <si>
    <t>Renta fija</t>
  </si>
  <si>
    <t>USTN 1yr</t>
  </si>
  <si>
    <t>USTN 2yr</t>
  </si>
  <si>
    <t>USTN 3yr</t>
  </si>
  <si>
    <t>USTN 5yr</t>
  </si>
  <si>
    <t>USTN 7yr</t>
  </si>
  <si>
    <t>USTN 10yr</t>
  </si>
  <si>
    <t>USTN 20yr</t>
  </si>
  <si>
    <t>USTN 30yr</t>
  </si>
  <si>
    <t>Var. pb</t>
  </si>
  <si>
    <t>Var. pb ytd</t>
  </si>
  <si>
    <t>Monedas</t>
  </si>
  <si>
    <t>Dólar BBDXY</t>
  </si>
  <si>
    <t>Dólar DXY</t>
  </si>
  <si>
    <t>Euro (USD por 1EUR)</t>
  </si>
  <si>
    <t>Libra esterlina (USD por 1GBP)</t>
  </si>
  <si>
    <t>Perú - sol (PEN por 1USD)</t>
  </si>
  <si>
    <t>Yuan (CNY por 1USD)</t>
  </si>
  <si>
    <t>Yen (JPY por 1USD)</t>
  </si>
  <si>
    <t>Chile - peso (CLP por 1USD)</t>
  </si>
  <si>
    <t>México - peso (MXN por 1USD)</t>
  </si>
  <si>
    <t>Descripción</t>
  </si>
  <si>
    <t>Ticker</t>
  </si>
  <si>
    <t>Mercado</t>
  </si>
  <si>
    <t>bursatil</t>
  </si>
  <si>
    <t>divisas</t>
  </si>
  <si>
    <t>fi</t>
  </si>
  <si>
    <t>com</t>
  </si>
  <si>
    <t>Spread 10y2y</t>
  </si>
  <si>
    <t>Spread 10y3m</t>
  </si>
  <si>
    <t>todos</t>
  </si>
  <si>
    <t>INDU Index</t>
  </si>
  <si>
    <t>SPX Index</t>
  </si>
  <si>
    <t>NDX Index</t>
  </si>
  <si>
    <t>SPBLPGPT Index</t>
  </si>
  <si>
    <t>COLCAP Index</t>
  </si>
  <si>
    <t>IBOV Index</t>
  </si>
  <si>
    <t>MEXBOL Index</t>
  </si>
  <si>
    <t>SXXP Index</t>
  </si>
  <si>
    <t>SHCOMP Index</t>
  </si>
  <si>
    <t>UKX Index</t>
  </si>
  <si>
    <t>CO1 Comdty</t>
  </si>
  <si>
    <t>XAU Curncy</t>
  </si>
  <si>
    <t>XAG Curncy</t>
  </si>
  <si>
    <t>H15T1Y Index</t>
  </si>
  <si>
    <t>H15T2Y Index</t>
  </si>
  <si>
    <t>H15T3Y Index</t>
  </si>
  <si>
    <t>H15T5Y Index</t>
  </si>
  <si>
    <t>H15T7Y Index</t>
  </si>
  <si>
    <t>H15T10Y Index</t>
  </si>
  <si>
    <t>H15T20Y Index</t>
  </si>
  <si>
    <t>H15T30Y Index</t>
  </si>
  <si>
    <t>PX_LAST</t>
  </si>
  <si>
    <t>CHG_PCT_1D</t>
  </si>
  <si>
    <t>CHG_PCT_YTD</t>
  </si>
  <si>
    <t>portafolio</t>
  </si>
  <si>
    <t>Ver portafolio de bonos</t>
  </si>
  <si>
    <t>Portafolio de bonos del Tesoro peruano</t>
  </si>
  <si>
    <t>Bonos soberanos nominales en soles</t>
  </si>
  <si>
    <t>inclusion</t>
  </si>
  <si>
    <t>Sí</t>
  </si>
  <si>
    <t>No</t>
  </si>
  <si>
    <t>ISIN</t>
  </si>
  <si>
    <t>Vencimiento</t>
  </si>
  <si>
    <t>Cupón</t>
  </si>
  <si>
    <t>Moneda</t>
  </si>
  <si>
    <t>Monto emitido</t>
  </si>
  <si>
    <t>Precio (%)</t>
  </si>
  <si>
    <t>Frecuencia</t>
  </si>
  <si>
    <t>Convención</t>
  </si>
  <si>
    <t>Duración</t>
  </si>
  <si>
    <t>Int. corr.</t>
  </si>
  <si>
    <t>Bono soberano 2020</t>
  </si>
  <si>
    <t>Bono soberano 2023</t>
  </si>
  <si>
    <t>Bono soberano 2024</t>
  </si>
  <si>
    <t>Bono soberano 2026</t>
  </si>
  <si>
    <t>Bono soberano 2028</t>
  </si>
  <si>
    <t>Bono soberano 2029</t>
  </si>
  <si>
    <t>Bono soberano 2031</t>
  </si>
  <si>
    <t>Bono soberano 2032</t>
  </si>
  <si>
    <t>Bono soberano 2037</t>
  </si>
  <si>
    <t>Bono soberano 2042</t>
  </si>
  <si>
    <t>Bono soberano 2055</t>
  </si>
  <si>
    <t>Bono soberano 2029E</t>
  </si>
  <si>
    <t>PEP01000CY33</t>
  </si>
  <si>
    <t>PEP01000C4N3</t>
  </si>
  <si>
    <t>PEP01000C4W4</t>
  </si>
  <si>
    <t>PEP01000C0J9</t>
  </si>
  <si>
    <t>PEP01000C5D1</t>
  </si>
  <si>
    <t>PEP01000C4Q6</t>
  </si>
  <si>
    <t>PEP01000C5F6</t>
  </si>
  <si>
    <t>PEP01000C4G7</t>
  </si>
  <si>
    <t>PEP01000C5E9</t>
  </si>
  <si>
    <t>PEP01000C2Z1</t>
  </si>
  <si>
    <t>PEP01000C4L7</t>
  </si>
  <si>
    <t>PEP01000C4S2</t>
  </si>
  <si>
    <t>12/08/2020</t>
  </si>
  <si>
    <t>12/09/2023</t>
  </si>
  <si>
    <t>12/08/2024</t>
  </si>
  <si>
    <t>12/08/2026</t>
  </si>
  <si>
    <t>12/08/2028</t>
  </si>
  <si>
    <t>12/02/2029</t>
  </si>
  <si>
    <t>12/08/2031</t>
  </si>
  <si>
    <t>12/08/2032</t>
  </si>
  <si>
    <t>12/08/2037</t>
  </si>
  <si>
    <t>12/02/2042</t>
  </si>
  <si>
    <t>12/02/2055</t>
  </si>
  <si>
    <t>PEN</t>
  </si>
  <si>
    <t>Vcto.</t>
  </si>
  <si>
    <t>ID</t>
  </si>
  <si>
    <t>ID (largo)</t>
  </si>
  <si>
    <t>Frecuencia (num.)</t>
  </si>
  <si>
    <t>Tipo</t>
  </si>
  <si>
    <t>Convención num</t>
  </si>
  <si>
    <t>Emisión</t>
  </si>
  <si>
    <t>Precio (bid)</t>
  </si>
  <si>
    <t>Rendimiento (bid)</t>
  </si>
  <si>
    <t>Precio (ask)</t>
  </si>
  <si>
    <t>Rendimiento (ask)</t>
  </si>
  <si>
    <t>Precio (último)</t>
  </si>
  <si>
    <t>Rendimiento (último)</t>
  </si>
  <si>
    <t>Precio (mid)</t>
  </si>
  <si>
    <t>Rendimiento (mid)</t>
  </si>
  <si>
    <t>Precio a la emisión</t>
  </si>
  <si>
    <t>Yield en la emisión</t>
  </si>
  <si>
    <t>D. mac. (ask)</t>
  </si>
  <si>
    <t>D. mac. (bid)</t>
  </si>
  <si>
    <t>D. mac. (med)</t>
  </si>
  <si>
    <t>Dur. Mod. (ask)</t>
  </si>
  <si>
    <t>Dur. Mod. (bid)</t>
  </si>
  <si>
    <t>Dur. Mod. (med)</t>
  </si>
  <si>
    <t>Convexidad (ask)</t>
  </si>
  <si>
    <t>Convexidad (bid)</t>
  </si>
  <si>
    <t>Saldo actual</t>
  </si>
  <si>
    <t>Intereses corridos</t>
  </si>
  <si>
    <t>Rating (Fitch)</t>
  </si>
  <si>
    <t>Rating (Moody's)</t>
  </si>
  <si>
    <t>Rating (S&amp;P)</t>
  </si>
  <si>
    <t>Rating (Bloomberg composite)</t>
  </si>
  <si>
    <t>Notas del bono</t>
  </si>
  <si>
    <t>PERUGB 7.84 08/12/20</t>
  </si>
  <si>
    <t>DOMESTIC</t>
  </si>
  <si>
    <t>S/A</t>
  </si>
  <si>
    <t>Nominal</t>
  </si>
  <si>
    <t>ACT/360</t>
  </si>
  <si>
    <t>18/07/2005</t>
  </si>
  <si>
    <t>#N/A Field Not Applicable</t>
  </si>
  <si>
    <t>A-</t>
  </si>
  <si>
    <t>A3</t>
  </si>
  <si>
    <t>1ST COUPON CALCULATION DAYCOUNT: ACT/360. OTHER COUPONS: 30/360. ACCRUED        INTEREST IS CALCULATED ON ACT/ACT. UNIT SETTLED</t>
  </si>
  <si>
    <t>PERUGB 5.2 09/12/23</t>
  </si>
  <si>
    <t>22/06/2012</t>
  </si>
  <si>
    <t>NR</t>
  </si>
  <si>
    <t>PERUGB 5.7 08/12/24</t>
  </si>
  <si>
    <t>07/11/2014</t>
  </si>
  <si>
    <t>PERUGB 8.2 08/12/26</t>
  </si>
  <si>
    <t>03/05/2006</t>
  </si>
  <si>
    <t>PERUGB 6.35 08/12/28</t>
  </si>
  <si>
    <t>07/10/2016</t>
  </si>
  <si>
    <t>DAYCOUNT FOR ALL COUPONS 30/360, ACCRUED INTEREST ACT/ACT, PRICE  ACT/360. UNIT SETTLE</t>
  </si>
  <si>
    <t>PERUGB 6 02/12/29</t>
  </si>
  <si>
    <t>10/07/2013</t>
  </si>
  <si>
    <t>PERUGB 6.95 08/12/31</t>
  </si>
  <si>
    <t>24/04/2008</t>
  </si>
  <si>
    <t>PERUGB 6.15 08/12/32</t>
  </si>
  <si>
    <t>21/07/2017</t>
  </si>
  <si>
    <t>DAY COUNTS: COUPONS 30/360. ACCRUED INTEREST ACT/ACT. PRICE ACT/360.            SETTLES &amp; PAYS PRIN/INT IN PEN. 144A/REGS WITH PERMANENT RESTRICTIONS</t>
  </si>
  <si>
    <t>PERUGB 6.9 08/12/37</t>
  </si>
  <si>
    <t>26/07/2007</t>
  </si>
  <si>
    <t>PERUGB 6.85 02/12/42</t>
  </si>
  <si>
    <t>27/01/2010</t>
  </si>
  <si>
    <t>PERUGB 6.7142 02/12/55</t>
  </si>
  <si>
    <t>09/07/2014</t>
  </si>
  <si>
    <t>DAYCOUNT FOR ALL COUPONS 30/360, ACCRUED INTEREST ACT/ACT, PRICE  ACT/360. UNIT SETTLED.</t>
  </si>
  <si>
    <t>US715638AW21</t>
  </si>
  <si>
    <t>Bono Global 2019</t>
  </si>
  <si>
    <t>PERU 7 1/8 03/30/19</t>
  </si>
  <si>
    <t>GLOBAL</t>
  </si>
  <si>
    <t>30/03/2019</t>
  </si>
  <si>
    <t>USD</t>
  </si>
  <si>
    <t>30/03/2009</t>
  </si>
  <si>
    <t>BBB+</t>
  </si>
  <si>
    <t>US715638AS19</t>
  </si>
  <si>
    <t>Bono Global 2025</t>
  </si>
  <si>
    <t>PERU 7.35 07/21/25</t>
  </si>
  <si>
    <t>21/07/2025</t>
  </si>
  <si>
    <t>19/07/2005</t>
  </si>
  <si>
    <t>LISTED AT EURO MTF(LUX) SE. ADD'L US$500MM ISS'D 12/12/05 @ 101.027 EFF 12/15/05</t>
  </si>
  <si>
    <t>XS1315181708</t>
  </si>
  <si>
    <t>Bono Global 2026</t>
  </si>
  <si>
    <t>PERU 2 3/4 01/30/26</t>
  </si>
  <si>
    <t>EURO NON-DOLLAR</t>
  </si>
  <si>
    <t>Annual</t>
  </si>
  <si>
    <t>ACT/ACT</t>
  </si>
  <si>
    <t>30/01/2026</t>
  </si>
  <si>
    <t>EUR</t>
  </si>
  <si>
    <t>03/11/2015</t>
  </si>
  <si>
    <t>US715638BU55</t>
  </si>
  <si>
    <t>Bono Global 2027</t>
  </si>
  <si>
    <t>PERU 4 1/8 08/25/27</t>
  </si>
  <si>
    <t>25/08/2027</t>
  </si>
  <si>
    <t>25/08/2015</t>
  </si>
  <si>
    <t>XS1373156618</t>
  </si>
  <si>
    <t>Bono Global 2030</t>
  </si>
  <si>
    <t>PERU 3 3/4 03/01/30</t>
  </si>
  <si>
    <t>01/03/2030</t>
  </si>
  <si>
    <t>01/03/2016</t>
  </si>
  <si>
    <t>US715638AP79</t>
  </si>
  <si>
    <t>Bono Global 2033</t>
  </si>
  <si>
    <t>PERU 8 3/4 11/21/33</t>
  </si>
  <si>
    <t>21/11/2033</t>
  </si>
  <si>
    <t>21/11/2003</t>
  </si>
  <si>
    <t>UNSEC'D. ADD'L US$400MM ISS'D 1/27/05 @ 106.75 EFF 2/3/05. ORIG SPREAD: 346BP   OVER T 5.375% 2/15/31.</t>
  </si>
  <si>
    <t>US715638AU64</t>
  </si>
  <si>
    <t>Bono Global 2037</t>
  </si>
  <si>
    <t>PERU 6.55 03/14/37</t>
  </si>
  <si>
    <t>14/03/2037</t>
  </si>
  <si>
    <t>14/03/2007</t>
  </si>
  <si>
    <t>US715638BM30</t>
  </si>
  <si>
    <t>Bono Global 2050</t>
  </si>
  <si>
    <t>PERU 5 5/8 11/18/50</t>
  </si>
  <si>
    <t>18/11/2050</t>
  </si>
  <si>
    <t>18/11/2010</t>
  </si>
  <si>
    <t>PEP01000CT89</t>
  </si>
  <si>
    <t>PERUGB 6.8399 10/13/24</t>
  </si>
  <si>
    <t>VAC</t>
  </si>
  <si>
    <t>13/10/2024</t>
  </si>
  <si>
    <t>13/10/2004</t>
  </si>
  <si>
    <t>CPN= 6.8399% + VAC (PRVAC INDEX).SOBERANOS 2004-13OCT2024. BOOK-ENTRY.          ADDL S/.349.068 ISS'D IN EXCH FOR EC4285168. UNIT SETTLED.</t>
  </si>
  <si>
    <t>PEP01000C4U8</t>
  </si>
  <si>
    <t>PERUGB 2.8893 02/12/30</t>
  </si>
  <si>
    <t>12/02/2030</t>
  </si>
  <si>
    <t>22/08/2014</t>
  </si>
  <si>
    <t>FIRST SHORT COUPON      PRINC &amp; COUPON ADJUSTED BY VAC.  BOOK-ENTRY. UNIT SETTLE</t>
  </si>
  <si>
    <t>PEP01000CV85</t>
  </si>
  <si>
    <t>PERUGB 7.39 01/31/35</t>
  </si>
  <si>
    <t>31/01/2035</t>
  </si>
  <si>
    <t>31/01/2005</t>
  </si>
  <si>
    <t>PRINC &amp; COUPON ADJUSTED BY VAC.                                                 SOBERANOS 31ENE2035. BOOK-ENTRY. UNIT SETTLED.</t>
  </si>
  <si>
    <t>PEP01000C4V6</t>
  </si>
  <si>
    <t>PERUGB 3.1412 02/12/40</t>
  </si>
  <si>
    <t>12/02/2040</t>
  </si>
  <si>
    <t>15/08/2014</t>
  </si>
  <si>
    <t>PRINC &amp; COUPON ADJUSTED BY VAC.  BOOK-ENTRY. UNIT SETTLE</t>
  </si>
  <si>
    <t>PEP01000C1S8</t>
  </si>
  <si>
    <t>PERUGB 3.83 08/12/46</t>
  </si>
  <si>
    <t>12/08/2046</t>
  </si>
  <si>
    <t>28/11/2006</t>
  </si>
  <si>
    <t>PRINC &amp; COUPON ADJUSTED BY VAC. YLD=3.83%+VAC(VALOR ADQUISITIVO CONSTANTE)      SOBERANOS 12AGO2046. SHORT 1ST CPN. UNIT SETTLED.</t>
  </si>
  <si>
    <t>PEP01000C4T0</t>
  </si>
  <si>
    <t>PERUGB 3.2669 02/12/54</t>
  </si>
  <si>
    <t>12/02/2054</t>
  </si>
  <si>
    <t>01/08/2014</t>
  </si>
  <si>
    <t>LONG FIRST COUPON PRINC &amp; COUPON ADJUSTED BY VAC.  BOOK-ENTRY. UNIT SETTLE</t>
  </si>
  <si>
    <t>BS2029</t>
  </si>
  <si>
    <t>PERUGB 5.94 02/12/29</t>
  </si>
  <si>
    <t>06/12/2018</t>
  </si>
  <si>
    <t>#N/A N/A</t>
  </si>
  <si>
    <t>Vida media</t>
  </si>
  <si>
    <t>Bonos globales</t>
  </si>
  <si>
    <t>Resumen</t>
  </si>
  <si>
    <t>NKY Index</t>
  </si>
  <si>
    <t>BBDXY Index</t>
  </si>
  <si>
    <t>DXY Curncy</t>
  </si>
  <si>
    <t>EUR Curncy</t>
  </si>
  <si>
    <t>GBP Curncy</t>
  </si>
  <si>
    <t>CNY Curncy</t>
  </si>
  <si>
    <t>PEN Curncy</t>
  </si>
  <si>
    <t>BRL Curncy</t>
  </si>
  <si>
    <t>CLP Curncy</t>
  </si>
  <si>
    <t>COP Curncy</t>
  </si>
  <si>
    <t>MXN Curncy</t>
  </si>
  <si>
    <t>CHG_NET_1D</t>
  </si>
  <si>
    <t>CHG_NET_YTD</t>
  </si>
  <si>
    <t>CPN</t>
  </si>
  <si>
    <t>SECURITY_DES</t>
  </si>
  <si>
    <t>MARKET_ISSUE</t>
  </si>
  <si>
    <t>CPN_FREQ</t>
  </si>
  <si>
    <t>COUPON_FREQUENCY_DESCRIPTION</t>
  </si>
  <si>
    <t>DAY_CNT_DES</t>
  </si>
  <si>
    <t>MATURITY</t>
  </si>
  <si>
    <t>CRNCY</t>
  </si>
  <si>
    <t>ISSUE_DT</t>
  </si>
  <si>
    <t>PX_BID</t>
  </si>
  <si>
    <t>PX_ASK</t>
  </si>
  <si>
    <t>PX_MID</t>
  </si>
  <si>
    <t>YLD_YTM_BID</t>
  </si>
  <si>
    <t>YLD_YTM_ASK</t>
  </si>
  <si>
    <t>YLD_CNV_LAST</t>
  </si>
  <si>
    <t>YLD_YTM_MID</t>
  </si>
  <si>
    <t>ISSUE_PX</t>
  </si>
  <si>
    <t>YIELD_ON_ISSUE_DATE</t>
  </si>
  <si>
    <t>DUR_ASK</t>
  </si>
  <si>
    <t>DUR_BID</t>
  </si>
  <si>
    <t>DUR_MID</t>
  </si>
  <si>
    <t>DUR_ADJ_ASK</t>
  </si>
  <si>
    <t>DUR_ADJ_BID</t>
  </si>
  <si>
    <t>DUR_ADJ_MID</t>
  </si>
  <si>
    <t>CNVX_ASK</t>
  </si>
  <si>
    <t>CNVX_BID</t>
  </si>
  <si>
    <t>AMT_ISSUED</t>
  </si>
  <si>
    <t>AMT_OUTSTANDING</t>
  </si>
  <si>
    <t>INT_ACC</t>
  </si>
  <si>
    <t>RTG_FITCH</t>
  </si>
  <si>
    <t>RTG_MOODY</t>
  </si>
  <si>
    <t>RTG_SP</t>
  </si>
  <si>
    <t>BB_COMPOSITE</t>
  </si>
  <si>
    <t>DES_NOTES</t>
  </si>
  <si>
    <t>BS2054</t>
  </si>
  <si>
    <t>BS2046</t>
  </si>
  <si>
    <t>BS2040</t>
  </si>
  <si>
    <t>BS2035</t>
  </si>
  <si>
    <t>BS2030</t>
  </si>
  <si>
    <t>BS2024</t>
  </si>
  <si>
    <t>BG2050</t>
  </si>
  <si>
    <t>BG2037</t>
  </si>
  <si>
    <t>BG2033</t>
  </si>
  <si>
    <t>BG2030</t>
  </si>
  <si>
    <t>BG2027</t>
  </si>
  <si>
    <t>BG2026</t>
  </si>
  <si>
    <t>BG2025</t>
  </si>
  <si>
    <t>BG2019</t>
  </si>
  <si>
    <t>BS2055</t>
  </si>
  <si>
    <t>BS2042</t>
  </si>
  <si>
    <t>BS2037</t>
  </si>
  <si>
    <t>BS2032</t>
  </si>
  <si>
    <t>BS2031</t>
  </si>
  <si>
    <t>DAY COUNTS: COUPONS 30/360. ACCRUED INTEREST ACT/ACT. PRICE ACT/360.  SETTLES &amp; PAYS PRIN/INT IN PEN. 144A/REGS WITH PERMANENT RESTRICTIONS</t>
  </si>
  <si>
    <t>BS2028</t>
  </si>
  <si>
    <t>BS2026</t>
  </si>
  <si>
    <t>BS2023</t>
  </si>
  <si>
    <t>BS2020</t>
  </si>
  <si>
    <t>Frec.</t>
  </si>
  <si>
    <t>Rend. (%)</t>
  </si>
  <si>
    <t>Dur. mod.</t>
  </si>
  <si>
    <t>Bono 2030 (VAC)</t>
  </si>
  <si>
    <t>Bono 2035 (VAC)</t>
  </si>
  <si>
    <t>Bono 2040 (VAC)</t>
  </si>
  <si>
    <t>Bono 2046 (VAC)</t>
  </si>
  <si>
    <t>Bono 2054 (VAC)</t>
  </si>
  <si>
    <t>Bono 2024 (VAC)</t>
  </si>
  <si>
    <t>Subtotal (USD)</t>
  </si>
  <si>
    <t>Total (MM S/)</t>
  </si>
  <si>
    <t>Subtotal (S/)</t>
  </si>
  <si>
    <t>Brasil - real (BRL por 1USD)</t>
  </si>
  <si>
    <t>Colombia - peso (COP por 1USD)</t>
  </si>
  <si>
    <t>Conv.</t>
  </si>
  <si>
    <t>Emitido (MM)</t>
  </si>
  <si>
    <t>Saldo (MM)</t>
  </si>
  <si>
    <t>Las hojas de color rojo son de simulación y sirven para evaluar las condiciones de intercambio de bonos o prepago de créditos.</t>
  </si>
  <si>
    <t>Las hojas de color celeste son informativas y no necesitan mayor modificación por parte del usuario.</t>
  </si>
  <si>
    <t>Las celdas de este color requieren que el usuario cambie para realizar la evaluación.</t>
  </si>
  <si>
    <t>Saldo</t>
  </si>
  <si>
    <t xml:space="preserve">T + </t>
  </si>
  <si>
    <t>Liquidación</t>
  </si>
  <si>
    <t>Cálculo</t>
  </si>
  <si>
    <t>Mon.</t>
  </si>
  <si>
    <t>Instrucciones</t>
  </si>
  <si>
    <t>Bono</t>
  </si>
  <si>
    <t>Pr. (mid)</t>
  </si>
  <si>
    <t>Rdto. (mid)</t>
  </si>
  <si>
    <t>Mercados financieros</t>
  </si>
  <si>
    <t>Pr. (bid)</t>
  </si>
  <si>
    <t>Rdto. (bid)</t>
  </si>
  <si>
    <t>Pr. (ask)</t>
  </si>
  <si>
    <t>Rdto. (ask)</t>
  </si>
  <si>
    <t>Pr. Justo</t>
  </si>
  <si>
    <t>Portafolio antes OAD '18</t>
  </si>
  <si>
    <t>Portafolio después OAD '18</t>
  </si>
  <si>
    <t>Debe incluir los tipos de cambios usados</t>
  </si>
  <si>
    <t>Debe incluir el resumen de cada operación</t>
  </si>
  <si>
    <t>La impresión debe incluir las tablas de curvas usadas y todos los precios tomados para poder replicar cada simulación</t>
  </si>
  <si>
    <t>Anexar información del mercado</t>
  </si>
  <si>
    <t>user</t>
  </si>
  <si>
    <t>USDPEN</t>
  </si>
  <si>
    <t>Yield (PEN)</t>
  </si>
  <si>
    <t>Yield (USD)</t>
  </si>
  <si>
    <t>Cupón (USD)</t>
  </si>
  <si>
    <t>Yield PEN (swap)</t>
  </si>
  <si>
    <t>Precio PEN</t>
  </si>
  <si>
    <t>Cupón PEN</t>
  </si>
  <si>
    <t>Plazo</t>
  </si>
  <si>
    <t>Meses</t>
  </si>
  <si>
    <t>Fecha</t>
  </si>
  <si>
    <t>Curva par Libor USD</t>
  </si>
  <si>
    <t>Base</t>
  </si>
  <si>
    <t>O/N</t>
  </si>
  <si>
    <t>1w</t>
  </si>
  <si>
    <t>1m</t>
  </si>
  <si>
    <t>2m</t>
  </si>
  <si>
    <t>3m</t>
  </si>
  <si>
    <t>6m</t>
  </si>
  <si>
    <t>Días</t>
  </si>
  <si>
    <t>US00O/N Index</t>
  </si>
  <si>
    <t>US0001W Index</t>
  </si>
  <si>
    <t>US0001M Index</t>
  </si>
  <si>
    <t>US0002M Index</t>
  </si>
  <si>
    <t>US0003M Index</t>
  </si>
  <si>
    <t>US0006M Index</t>
  </si>
  <si>
    <t>US0012M Index</t>
  </si>
  <si>
    <t>USSW2 Curncy</t>
  </si>
  <si>
    <t>USSW3 Curncy</t>
  </si>
  <si>
    <t>USSW4 Curncy</t>
  </si>
  <si>
    <t>USSW5 Curncy</t>
  </si>
  <si>
    <t>USSW7 Curncy</t>
  </si>
  <si>
    <t>USSW10 Curncy</t>
  </si>
  <si>
    <t>USSW15 Curncy</t>
  </si>
  <si>
    <t>USSW20 Curncy</t>
  </si>
  <si>
    <t>USSW30 Curncy</t>
  </si>
  <si>
    <t>Act/360</t>
  </si>
  <si>
    <t>30/360 Semi</t>
  </si>
  <si>
    <t>Curva par ICPR (Libor PEN) (ACT/360 Semi)</t>
  </si>
  <si>
    <t>Curva ICPR (Libor PEN) (30/360) Semi</t>
  </si>
  <si>
    <t>Spread PEN vs USD (30/360 Semi)</t>
  </si>
  <si>
    <t>Para datos actuales</t>
  </si>
  <si>
    <t>Nombre de archivo</t>
  </si>
  <si>
    <t>Fecha del archivo cargado</t>
  </si>
  <si>
    <t>Curva par libor USD (30/360 semi)</t>
  </si>
  <si>
    <t>ISMA-30/360 NONEOM</t>
  </si>
  <si>
    <t>ISMA-30/360</t>
  </si>
  <si>
    <t>ISDA ACT/ACT</t>
  </si>
  <si>
    <t>Las hojas de color negro son de referencia y bases de datos, que apoyan el análisis financiero de las hojas de simulación.</t>
  </si>
  <si>
    <t>Esta herramienta hace uso del complemento de Excel® "xlbond.xll" para realizar cálculos diversos. Este complemento se carga automáticamente al abrir la macro.</t>
  </si>
  <si>
    <t>PEP01000CY33 Govt</t>
  </si>
  <si>
    <t>PEP01000C4N3 Govt</t>
  </si>
  <si>
    <t>PEP01000C4W4 Govt</t>
  </si>
  <si>
    <t>PEP01000C0J9 Govt</t>
  </si>
  <si>
    <t>PEP01000C5D1 Govt</t>
  </si>
  <si>
    <t>PEP01000C4Q6 Govt</t>
  </si>
  <si>
    <t>PEP01000C5F6 Govt</t>
  </si>
  <si>
    <t>PEP01000C4G7 Govt</t>
  </si>
  <si>
    <t>PEP01000C5E9 Govt</t>
  </si>
  <si>
    <t>PEP01000C2Z1 Govt</t>
  </si>
  <si>
    <t>PEP01000C4L7 Govt</t>
  </si>
  <si>
    <t>PEP01000C4S2 Govt</t>
  </si>
  <si>
    <t>US715638AW21 Govt</t>
  </si>
  <si>
    <t>US715638AS19 Govt</t>
  </si>
  <si>
    <t>XS1315181708 Govt</t>
  </si>
  <si>
    <t>US715638BU55 Govt</t>
  </si>
  <si>
    <t>XS1373156618 Govt</t>
  </si>
  <si>
    <t>US715638AP79 Govt</t>
  </si>
  <si>
    <t>US715638AU64 Govt</t>
  </si>
  <si>
    <t>US715638BM30 Govt</t>
  </si>
  <si>
    <t>PEP01000CT89 Govt</t>
  </si>
  <si>
    <t>PEP01000C4U8 Govt</t>
  </si>
  <si>
    <t>PEP01000CV85 Govt</t>
  </si>
  <si>
    <t>PEP01000C4V6 Govt</t>
  </si>
  <si>
    <t>PEP01000C1S8 Govt</t>
  </si>
  <si>
    <t>PEP01000C4T0 Govt</t>
  </si>
  <si>
    <t>Además de totales de financiamiento de la operación, mostrar una fila más con var. Ind.</t>
  </si>
  <si>
    <t>Quizán al poner calcular se puede poner un formulario que pregunte además de la fecha, si el financiamiento será con cash, bonos o nueva emisión</t>
  </si>
  <si>
    <t>Sgte. vcto.</t>
  </si>
  <si>
    <t>Ant. vcto.</t>
  </si>
  <si>
    <t>Sig. vcto.</t>
  </si>
  <si>
    <t>Maturity</t>
  </si>
  <si>
    <t>JPY Curncy</t>
  </si>
  <si>
    <t>HGA Comdty</t>
  </si>
  <si>
    <t>CL1 Comdty</t>
  </si>
  <si>
    <t>Spread USD</t>
  </si>
  <si>
    <t>Curva par EUR</t>
  </si>
  <si>
    <t>Curva par EUR (30/360 Semi)</t>
  </si>
  <si>
    <t>Spread EUR vs USD</t>
  </si>
  <si>
    <t>1W</t>
  </si>
  <si>
    <t>1M</t>
  </si>
  <si>
    <t>3M</t>
  </si>
  <si>
    <t>4M</t>
  </si>
  <si>
    <t>5M</t>
  </si>
  <si>
    <t>6M</t>
  </si>
  <si>
    <t>9M</t>
  </si>
  <si>
    <t>12M</t>
  </si>
  <si>
    <t>2Y</t>
  </si>
  <si>
    <t>3Y</t>
  </si>
  <si>
    <t>4Y</t>
  </si>
  <si>
    <t>5Y</t>
  </si>
  <si>
    <t>7Y</t>
  </si>
  <si>
    <t>10Y</t>
  </si>
  <si>
    <t>15Y</t>
  </si>
  <si>
    <t>20Y</t>
  </si>
  <si>
    <t>30Y</t>
  </si>
  <si>
    <t>EUSA2 Curncy</t>
  </si>
  <si>
    <t>EUSA3 Curncy</t>
  </si>
  <si>
    <t>EUSA4 Curncy</t>
  </si>
  <si>
    <t>EUSA5 Curncy</t>
  </si>
  <si>
    <t>EUSA7 Curncy</t>
  </si>
  <si>
    <t>EUSA10 Curncy</t>
  </si>
  <si>
    <t>EUSA15 Curncy</t>
  </si>
  <si>
    <t>EUSA20 Curncy</t>
  </si>
  <si>
    <t>EUSA30 Curncy</t>
  </si>
  <si>
    <t>Para interpolar</t>
  </si>
  <si>
    <t>EUBS1 Curncy</t>
  </si>
  <si>
    <t>Basis</t>
  </si>
  <si>
    <t>EUBS2 Curncy</t>
  </si>
  <si>
    <t>EUBS3 Curncy</t>
  </si>
  <si>
    <t>EUBS4 Curncy</t>
  </si>
  <si>
    <t>EUBS5 Curncy</t>
  </si>
  <si>
    <t>EUBS7 Curncy</t>
  </si>
  <si>
    <t>EUBS10 Curncy</t>
  </si>
  <si>
    <t>EUBS15 Curncy</t>
  </si>
  <si>
    <t>EUBS20 Curncy</t>
  </si>
  <si>
    <t>EUBS30 Curncy</t>
  </si>
  <si>
    <t>basis</t>
  </si>
  <si>
    <t>EUR001w Index</t>
  </si>
  <si>
    <t>EUR001M Index</t>
  </si>
  <si>
    <t>EUR003M Index</t>
  </si>
  <si>
    <t>EUR006M Index</t>
  </si>
  <si>
    <t>EUR012M Index</t>
  </si>
  <si>
    <t>Intercambio</t>
  </si>
  <si>
    <t>Se debe explicar en el manual que cuando se quiere hacer una simulacion de hoy, las tasas se toman del dia anterior porque son las ultimas disponibles.</t>
  </si>
  <si>
    <t>Para bonos nominales a tasa fija PEN</t>
  </si>
  <si>
    <t>Interpolaciones</t>
  </si>
  <si>
    <t>Lineal</t>
  </si>
  <si>
    <t>Bloomberg (cúbica)</t>
  </si>
  <si>
    <t>Para bonos nominales a tasa fija USD</t>
  </si>
  <si>
    <t>Para bonos nominales a tasa fija EUR</t>
  </si>
  <si>
    <t>Nueva emisión</t>
  </si>
  <si>
    <t>Flujos de la deuda del Gobierno Central</t>
  </si>
  <si>
    <t>En millones de soles</t>
  </si>
  <si>
    <t>Datos</t>
  </si>
  <si>
    <t>Soberanos</t>
  </si>
  <si>
    <t>Globales</t>
  </si>
  <si>
    <t>Resto</t>
  </si>
  <si>
    <t>Total</t>
  </si>
  <si>
    <t>Año</t>
  </si>
  <si>
    <t>Stock (un.)</t>
  </si>
  <si>
    <t>Bullet</t>
  </si>
  <si>
    <t>Semestral</t>
  </si>
  <si>
    <t>Totales</t>
  </si>
  <si>
    <t>Saldo actual (14/03/2019)</t>
  </si>
  <si>
    <t>Saldo actual (29/11/2018)</t>
  </si>
  <si>
    <t>T +</t>
  </si>
  <si>
    <t>Cpn.</t>
  </si>
  <si>
    <t>Emitido</t>
  </si>
  <si>
    <t xml:space="preserve">Dur. </t>
  </si>
  <si>
    <t>Bonos del Tesoro peruano</t>
  </si>
  <si>
    <t>EURPEN</t>
  </si>
  <si>
    <t>Fechas</t>
  </si>
  <si>
    <t>ICAP</t>
  </si>
  <si>
    <t>Curva USD</t>
  </si>
  <si>
    <t>Curva EUR</t>
  </si>
  <si>
    <t>last_row_nw_val</t>
  </si>
  <si>
    <t>Monto</t>
  </si>
  <si>
    <t>Intereses</t>
  </si>
  <si>
    <t>last_row</t>
  </si>
  <si>
    <t>last_row_1</t>
  </si>
  <si>
    <t>last_row_2</t>
  </si>
  <si>
    <t>last_row_3</t>
  </si>
  <si>
    <t>last_row_4</t>
  </si>
  <si>
    <t>last_row_5</t>
  </si>
  <si>
    <t>Amortización</t>
  </si>
  <si>
    <t>Acerca de...</t>
  </si>
  <si>
    <t>Herramienta preparada en la Dirección de Análisis y Estrategia por Pedro Portocarrero (pportocarrero@mef.gob.pe).</t>
  </si>
  <si>
    <t>Por retirar</t>
  </si>
  <si>
    <t>Esta herramienta ha sido desarrollada íntegramente en Microsoft Excel(R) y Visual Basic for Applications. Para su correcto funcionamiento, debe ser utilizada en una instalación de Microsoft Office(R) de 32bits.</t>
  </si>
  <si>
    <t>last_col_1</t>
  </si>
  <si>
    <t>last_col_iss</t>
  </si>
  <si>
    <t>last_row_last</t>
  </si>
  <si>
    <t>last_col_iss_2</t>
  </si>
  <si>
    <t>last_row_6</t>
  </si>
  <si>
    <t>last_row_7</t>
  </si>
  <si>
    <t>last_row_8</t>
  </si>
  <si>
    <t>Por emitir</t>
  </si>
  <si>
    <t>last_row_9</t>
  </si>
  <si>
    <t>Años</t>
  </si>
  <si>
    <t>Flujos a emitir</t>
  </si>
  <si>
    <t>Ahorro</t>
  </si>
  <si>
    <t>Flujos a retirar</t>
  </si>
  <si>
    <t>TOTAL</t>
  </si>
  <si>
    <t>last_row_10</t>
  </si>
  <si>
    <t>last_row_11</t>
  </si>
  <si>
    <t>AH</t>
  </si>
  <si>
    <t>JG</t>
  </si>
  <si>
    <t>Spread PEN vs EUR (30/360 Semi)</t>
  </si>
  <si>
    <t>Settlement</t>
  </si>
  <si>
    <t>Y-Sprd</t>
  </si>
  <si>
    <t>Precio</t>
  </si>
  <si>
    <t>Bonos soberanos VAC en soles</t>
  </si>
  <si>
    <t>Freq.</t>
  </si>
  <si>
    <t>Rdto.(bid)</t>
  </si>
  <si>
    <t>Rdto.(ask)</t>
  </si>
  <si>
    <t>Rdto.(mid)</t>
  </si>
  <si>
    <t>Pr.(bid)</t>
  </si>
  <si>
    <t>Pr.(ask)</t>
  </si>
  <si>
    <t>Pr.(mid)</t>
  </si>
  <si>
    <t>Spread</t>
  </si>
  <si>
    <t>Esta herramienta cuenta con 25 módulos, 4 formularios y 2968 líneas de código escritas.</t>
  </si>
  <si>
    <t>Yield (swap)</t>
  </si>
  <si>
    <t>Precio USD</t>
  </si>
  <si>
    <t>Indicadores de bonos a retirar (en moneda de origen)</t>
  </si>
  <si>
    <t>Trgt. (%)</t>
  </si>
  <si>
    <t>Prima (pb)</t>
  </si>
  <si>
    <t>Pr. mcdo.</t>
  </si>
  <si>
    <t>Pr. justo</t>
  </si>
  <si>
    <t>VPN mcdo.</t>
  </si>
  <si>
    <t>V. mcdo.</t>
  </si>
  <si>
    <t>Indicadores bonos a retirar (en soles)</t>
  </si>
  <si>
    <t>Cpn. S/</t>
  </si>
  <si>
    <t>V.M.</t>
  </si>
  <si>
    <t>Totales S/</t>
  </si>
  <si>
    <t>Seleccionar bono</t>
  </si>
  <si>
    <t>Pr. sucio</t>
  </si>
  <si>
    <t>%</t>
  </si>
  <si>
    <t>Debt stock</t>
  </si>
  <si>
    <t>Cpn. M.O.</t>
  </si>
  <si>
    <t>Yield M.O.</t>
  </si>
  <si>
    <t>16155000/</t>
  </si>
  <si>
    <t>Bono Global 2030(US)</t>
  </si>
  <si>
    <t>Bono Global 2030 (US)</t>
  </si>
  <si>
    <t>Intercambio y recompra de bonos</t>
  </si>
  <si>
    <t>¿Incluir?</t>
  </si>
  <si>
    <t>Información de los bonos objetivo (montos y tasas en moneda original)</t>
  </si>
  <si>
    <t>Histórico</t>
  </si>
  <si>
    <t>Días hist.</t>
  </si>
  <si>
    <t>Para datos históricos</t>
  </si>
  <si>
    <t>Plazo (años)</t>
  </si>
  <si>
    <t>Cupón M.O.</t>
  </si>
  <si>
    <t>Cupón S/</t>
  </si>
  <si>
    <t>Financiamiento de la operación (en soles)</t>
  </si>
  <si>
    <t>Variación de indicadores (en soles)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</si>
</sst>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164" formatCode="_ * #,##0.00_ ;_ * \-#,##0.00_ ;_ * &quot;-&quot;??_ ;_ @_ "/>
    <numFmt numFmtId="165" formatCode="#,##0.0"/>
    <numFmt numFmtId="166" formatCode="dd/mm/yyyy;@"/>
    <numFmt numFmtId="167" formatCode="0.000"/>
    <numFmt numFmtId="168" formatCode="#,##0.000"/>
    <numFmt numFmtId="169" formatCode="0.0000"/>
    <numFmt numFmtId="170" formatCode="&quot;$&quot;#,##0_);\(&quot;$&quot;#,##0\)"/>
    <numFmt numFmtId="171" formatCode="&quot;$&quot;#,##0.0000_);\(&quot;$&quot;#,##0.0000\)"/>
    <numFmt numFmtId="172" formatCode="#,##0.0_);\(#,##0.0\)"/>
    <numFmt numFmtId="173" formatCode="_-* #,##0\ _F_-;\-* #,##0\ _F_-;_-* &quot;-&quot;\ _F_-;_-@_-"/>
    <numFmt numFmtId="174" formatCode="_-* #,##0.00\ _F_-;\-* #,##0.00\ _F_-;_-* &quot;-&quot;??\ _F_-;_-@_-"/>
    <numFmt numFmtId="175" formatCode="_-* #,##0\ &quot;F&quot;_-;\-* #,##0\ &quot;F&quot;_-;_-* &quot;-&quot;\ &quot;F&quot;_-;_-@_-"/>
    <numFmt numFmtId="176" formatCode="_-* #,##0.00\ &quot;F&quot;_-;\-* #,##0.00\ &quot;F&quot;_-;_-* &quot;-&quot;??\ &quot;F&quot;_-;_-@_-"/>
    <numFmt numFmtId="177" formatCode="mm/dd/\y\y"/>
    <numFmt numFmtId="178" formatCode="General_)"/>
    <numFmt numFmtId="179" formatCode="#,###"/>
    <numFmt numFmtId="180" formatCode="##0.0%"/>
    <numFmt numFmtId="181" formatCode="0.000%"/>
    <numFmt numFmtId="182" formatCode="0.0000%"/>
    <numFmt numFmtId="183" formatCode="0.0%"/>
    <numFmt numFmtId="184" formatCode="0,000"/>
    <numFmt numFmtId="185" formatCode="0000"/>
    <numFmt numFmtId="186" formatCode="[$-280A]dd/mm/yyyy"/>
    <numFmt numFmtId="187" formatCode="0.0"/>
    <numFmt numFmtId="188" formatCode="dd/mm/yyyy"/>
  </numFmts>
  <fonts count="52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8"/>
      <name val="Times New Roman"/>
      <family val="1"/>
    </font>
    <font>
      <sz val="10"/>
      <name val="MS Sans Serif"/>
      <family val="2"/>
    </font>
    <font>
      <sz val="12"/>
      <color indexed="24"/>
      <name val="Arial"/>
      <family val="2"/>
    </font>
    <font>
      <sz val="10"/>
      <name val="BERNHARD"/>
    </font>
    <font>
      <sz val="10"/>
      <name val="Helv"/>
    </font>
    <font>
      <sz val="12"/>
      <name val="Arial"/>
      <family val="2"/>
    </font>
    <font>
      <sz val="10"/>
      <name val="MS Serif"/>
      <family val="1"/>
    </font>
    <font>
      <sz val="10"/>
      <name val="Courier"/>
      <family val="3"/>
    </font>
    <font>
      <b/>
      <u/>
      <sz val="8"/>
      <name val="Tms Rmn"/>
    </font>
    <font>
      <sz val="8"/>
      <name val="Tms Rmn"/>
    </font>
    <font>
      <b/>
      <sz val="12"/>
      <color indexed="24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sz val="10"/>
      <color indexed="24"/>
      <name val="Arial"/>
      <family val="2"/>
    </font>
    <font>
      <b/>
      <sz val="12"/>
      <name val="Arial"/>
      <family val="2"/>
    </font>
    <font>
      <sz val="12"/>
      <name val="Helv"/>
    </font>
    <font>
      <sz val="12"/>
      <color indexed="9"/>
      <name val="Helv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8"/>
      <name val="Tms Rmn"/>
    </font>
    <font>
      <sz val="11"/>
      <name val="‚l‚r –¾’©"/>
      <charset val="128"/>
    </font>
    <font>
      <sz val="10"/>
      <name val="Tms Rmn"/>
    </font>
    <font>
      <b/>
      <sz val="8"/>
      <name val="Tms Rmn"/>
    </font>
    <font>
      <sz val="8"/>
      <name val="Helv"/>
    </font>
    <font>
      <b/>
      <sz val="8"/>
      <color indexed="8"/>
      <name val="Helv"/>
    </font>
    <font>
      <b/>
      <sz val="9"/>
      <name val="Bookman"/>
      <family val="1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8"/>
      <name val="Arial"/>
      <family val="2"/>
    </font>
    <font>
      <b/>
      <sz val="9"/>
      <name val="Arial"/>
      <family val="2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10"/>
      <name val="Arial"/>
      <family val="2"/>
    </font>
    <font>
      <sz val="8"/>
      <color indexed="22"/>
      <name val="Arial"/>
      <family val="2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indexed="17"/>
      <name val="Arial"/>
      <family val="2"/>
    </font>
    <font>
      <b/>
      <sz val="11"/>
      <color rgb="FFFFFFFF"/>
      <name val="Calibri"/>
      <family val="2"/>
      <scheme val="minor"/>
    </font>
    <font>
      <b/>
      <u/>
      <sz val="11"/>
      <color rgb="FFFFFFFF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solid">
        <fgColor indexed="43"/>
      </patternFill>
    </fill>
    <fill>
      <patternFill patternType="gray125">
        <fgColor indexed="8"/>
      </patternFill>
    </fill>
    <fill>
      <patternFill patternType="solid">
        <fgColor rgb="FFED3237"/>
        <bgColor indexed="64"/>
      </patternFill>
    </fill>
    <fill>
      <patternFill patternType="solid">
        <fgColor rgb="FF0594B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4DFE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2060"/>
        <bgColor indexed="64"/>
      </patternFill>
    </fill>
  </fills>
  <borders count="27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</borders>
  <cellStyleXfs count="143">
    <xf numFmtId="0" fontId="0" fillId="0" borderId="0"/>
    <xf numFmtId="0" fontId="4" fillId="0" borderId="0"/>
    <xf numFmtId="0" fontId="7" fillId="0" borderId="0"/>
    <xf numFmtId="0" fontId="9" fillId="0" borderId="0">
      <alignment horizontal="center" wrapText="1"/>
      <protection locked="0"/>
    </xf>
    <xf numFmtId="171" fontId="7" fillId="0" borderId="0" applyFill="0" applyBorder="0" applyAlignment="0"/>
    <xf numFmtId="17" fontId="11" fillId="0" borderId="0" applyFont="0" applyFill="0" applyBorder="0" applyAlignment="0" applyProtection="0"/>
    <xf numFmtId="0" fontId="12" fillId="0" borderId="0"/>
    <xf numFmtId="0" fontId="13" fillId="0" borderId="0"/>
    <xf numFmtId="3" fontId="14" fillId="0" borderId="0" applyFont="0" applyFill="0" applyBorder="0" applyAlignment="0" applyProtection="0"/>
    <xf numFmtId="0" fontId="12" fillId="0" borderId="0"/>
    <xf numFmtId="0" fontId="13" fillId="0" borderId="0"/>
    <xf numFmtId="0" fontId="15" fillId="0" borderId="0" applyNumberFormat="0" applyAlignment="0">
      <alignment horizontal="left"/>
    </xf>
    <xf numFmtId="0" fontId="16" fillId="0" borderId="0" applyNumberFormat="0" applyAlignment="0"/>
    <xf numFmtId="178" fontId="17" fillId="0" borderId="0"/>
    <xf numFmtId="178" fontId="18" fillId="0" borderId="0"/>
    <xf numFmtId="0" fontId="19" fillId="0" borderId="0" applyNumberFormat="0" applyFill="0" applyBorder="0" applyAlignment="0" applyProtection="0"/>
    <xf numFmtId="4" fontId="11" fillId="0" borderId="0" applyFont="0" applyFill="0" applyBorder="0" applyAlignment="0" applyProtection="0"/>
    <xf numFmtId="0" fontId="20" fillId="0" borderId="0">
      <protection locked="0"/>
    </xf>
    <xf numFmtId="0" fontId="21" fillId="0" borderId="0">
      <protection locked="0"/>
    </xf>
    <xf numFmtId="0" fontId="21" fillId="0" borderId="0">
      <protection locked="0"/>
    </xf>
    <xf numFmtId="0" fontId="22" fillId="0" borderId="0" applyNumberFormat="0" applyAlignment="0">
      <alignment horizontal="left"/>
    </xf>
    <xf numFmtId="0" fontId="7" fillId="0" borderId="0" applyFont="0" applyFill="0" applyBorder="0" applyAlignment="0" applyProtection="0"/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2" fontId="23" fillId="0" borderId="0" applyFont="0" applyFill="0" applyBorder="0" applyAlignment="0" applyProtection="0"/>
    <xf numFmtId="0" fontId="9" fillId="0" borderId="0" applyFill="0" applyBorder="0" applyProtection="0">
      <alignment horizontal="left"/>
    </xf>
    <xf numFmtId="38" fontId="8" fillId="3" borderId="0" applyNumberFormat="0" applyBorder="0" applyAlignment="0" applyProtection="0"/>
    <xf numFmtId="0" fontId="24" fillId="0" borderId="1" applyNumberFormat="0" applyAlignment="0" applyProtection="0">
      <alignment horizontal="left" vertical="center"/>
    </xf>
    <xf numFmtId="0" fontId="24" fillId="0" borderId="2">
      <alignment horizontal="left" vertical="center"/>
    </xf>
    <xf numFmtId="3" fontId="11" fillId="0" borderId="0" applyFont="0" applyFill="0" applyBorder="0" applyAlignment="0" applyProtection="0"/>
    <xf numFmtId="2" fontId="11" fillId="0" borderId="0" applyFont="0" applyFill="0" applyBorder="0" applyAlignment="0" applyProtection="0"/>
    <xf numFmtId="10" fontId="8" fillId="4" borderId="3" applyNumberFormat="0" applyBorder="0" applyAlignment="0" applyProtection="0"/>
    <xf numFmtId="172" fontId="25" fillId="5" borderId="0"/>
    <xf numFmtId="172" fontId="26" fillId="6" borderId="0"/>
    <xf numFmtId="164" fontId="7" fillId="0" borderId="0" applyFont="0" applyFill="0" applyBorder="0" applyAlignment="0" applyProtection="0"/>
    <xf numFmtId="173" fontId="7" fillId="0" borderId="0" applyFont="0" applyFill="0" applyBorder="0" applyAlignment="0" applyProtection="0"/>
    <xf numFmtId="174" fontId="7" fillId="0" borderId="0" applyFont="0" applyFill="0" applyBorder="0" applyAlignment="0" applyProtection="0"/>
    <xf numFmtId="175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0" fillId="0" borderId="0">
      <protection locked="0"/>
    </xf>
    <xf numFmtId="0" fontId="27" fillId="7" borderId="0" applyNumberFormat="0" applyBorder="0" applyAlignment="0" applyProtection="0"/>
    <xf numFmtId="37" fontId="28" fillId="0" borderId="0"/>
    <xf numFmtId="169" fontId="7" fillId="0" borderId="0"/>
    <xf numFmtId="0" fontId="7" fillId="0" borderId="0"/>
    <xf numFmtId="178" fontId="29" fillId="0" borderId="0"/>
    <xf numFmtId="4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14" fontId="9" fillId="0" borderId="0">
      <alignment horizontal="center" wrapText="1"/>
      <protection locked="0"/>
    </xf>
    <xf numFmtId="10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70" fontId="31" fillId="0" borderId="0"/>
    <xf numFmtId="0" fontId="9" fillId="0" borderId="4" applyNumberFormat="0" applyAlignment="0"/>
    <xf numFmtId="0" fontId="10" fillId="0" borderId="0" applyNumberFormat="0" applyFont="0" applyFill="0" applyBorder="0" applyAlignment="0" applyProtection="0">
      <alignment horizontal="left"/>
    </xf>
    <xf numFmtId="178" fontId="32" fillId="8" borderId="0"/>
    <xf numFmtId="177" fontId="33" fillId="0" borderId="0" applyNumberFormat="0" applyFill="0" applyBorder="0" applyAlignment="0" applyProtection="0">
      <alignment horizontal="left"/>
    </xf>
    <xf numFmtId="38" fontId="33" fillId="0" borderId="0"/>
    <xf numFmtId="40" fontId="34" fillId="0" borderId="0" applyBorder="0">
      <alignment horizontal="right"/>
    </xf>
    <xf numFmtId="0" fontId="38" fillId="0" borderId="0" applyBorder="0" applyProtection="0">
      <alignment horizontal="left"/>
    </xf>
    <xf numFmtId="0" fontId="39" fillId="0" borderId="0" applyFill="0" applyBorder="0" applyProtection="0">
      <alignment horizontal="left"/>
    </xf>
    <xf numFmtId="0" fontId="8" fillId="0" borderId="5" applyFill="0" applyBorder="0" applyProtection="0">
      <alignment horizontal="left" vertical="top"/>
    </xf>
    <xf numFmtId="178" fontId="35" fillId="0" borderId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20" fillId="0" borderId="8">
      <protection locked="0"/>
    </xf>
    <xf numFmtId="0" fontId="7" fillId="0" borderId="0"/>
    <xf numFmtId="0" fontId="7" fillId="0" borderId="0"/>
    <xf numFmtId="0" fontId="7" fillId="0" borderId="0"/>
    <xf numFmtId="0" fontId="9" fillId="0" borderId="0" applyFill="0" applyBorder="0" applyProtection="0">
      <alignment horizontal="left"/>
    </xf>
    <xf numFmtId="38" fontId="8" fillId="3" borderId="0" applyNumberFormat="0" applyBorder="0" applyAlignment="0" applyProtection="0"/>
    <xf numFmtId="10" fontId="8" fillId="4" borderId="3" applyNumberFormat="0" applyBorder="0" applyAlignment="0" applyProtection="0"/>
    <xf numFmtId="0" fontId="8" fillId="0" borderId="5" applyFill="0" applyBorder="0" applyProtection="0">
      <alignment horizontal="left" vertical="top"/>
    </xf>
    <xf numFmtId="0" fontId="7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7" fillId="0" borderId="0" applyFont="0" applyFill="0" applyBorder="0" applyAlignment="0" applyProtection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5" fillId="0" borderId="0"/>
    <xf numFmtId="0" fontId="7" fillId="0" borderId="0"/>
    <xf numFmtId="0" fontId="8" fillId="0" borderId="16" applyFill="0" applyBorder="0" applyProtection="0">
      <alignment horizontal="left" vertical="top"/>
    </xf>
    <xf numFmtId="0" fontId="36" fillId="0" borderId="6" applyNumberFormat="0" applyFill="0" applyAlignment="0" applyProtection="0"/>
    <xf numFmtId="0" fontId="7" fillId="0" borderId="0"/>
    <xf numFmtId="0" fontId="7" fillId="0" borderId="0"/>
    <xf numFmtId="0" fontId="8" fillId="0" borderId="16" applyFill="0" applyBorder="0" applyProtection="0">
      <alignment horizontal="left" vertical="top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64" fontId="7" fillId="0" borderId="0" applyFont="0" applyFill="0" applyBorder="0" applyAlignment="0" applyProtection="0"/>
    <xf numFmtId="0" fontId="8" fillId="0" borderId="17" applyFill="0" applyBorder="0" applyProtection="0">
      <alignment horizontal="left" vertical="top"/>
    </xf>
    <xf numFmtId="0" fontId="7" fillId="0" borderId="0"/>
    <xf numFmtId="0" fontId="8" fillId="0" borderId="17" applyFill="0" applyBorder="0" applyProtection="0">
      <alignment horizontal="left" vertical="top"/>
    </xf>
    <xf numFmtId="0" fontId="7" fillId="0" borderId="0"/>
    <xf numFmtId="0" fontId="7" fillId="0" borderId="0"/>
    <xf numFmtId="0" fontId="8" fillId="0" borderId="20" applyFill="0" applyBorder="0" applyProtection="0">
      <alignment horizontal="left" vertical="top"/>
    </xf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8" fillId="0" borderId="20" applyFill="0" applyBorder="0" applyProtection="0">
      <alignment horizontal="left" vertical="top"/>
    </xf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7" fillId="0" borderId="0"/>
    <xf numFmtId="0" fontId="7" fillId="0" borderId="0"/>
    <xf numFmtId="0" fontId="4" fillId="0" borderId="0"/>
  </cellStyleXfs>
  <cellXfs count="342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0" fillId="0" borderId="0" xfId="0" applyAlignment="1">
      <alignment horizont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0" borderId="0" xfId="0" applyAlignment="1">
      <alignment horizontal="left"/>
    </xf>
    <xf numFmtId="2" fontId="0" fillId="2" borderId="0" xfId="0" applyNumberFormat="1" applyFill="1" applyAlignment="1">
      <alignment horizontal="center"/>
    </xf>
    <xf numFmtId="166" fontId="0" fillId="2" borderId="0" xfId="0" applyNumberFormat="1" applyFill="1" applyAlignment="1">
      <alignment horizontal="center"/>
    </xf>
    <xf numFmtId="2" fontId="0" fillId="0" borderId="0" xfId="0" applyNumberFormat="1"/>
    <xf numFmtId="2" fontId="0" fillId="2" borderId="0" xfId="0" applyNumberFormat="1" applyFill="1"/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/>
    <xf numFmtId="49" fontId="0" fillId="0" borderId="0" xfId="0" applyNumberFormat="1"/>
    <xf numFmtId="49" fontId="0" fillId="0" borderId="0" xfId="0" applyNumberFormat="1" applyAlignment="1">
      <alignment horizontal="left"/>
    </xf>
    <xf numFmtId="16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0" applyAlignment="1">
      <alignment horizontal="left"/>
    </xf>
    <xf numFmtId="0" fontId="3" fillId="2" borderId="0" xfId="0" applyFont="1" applyFill="1" applyAlignment="1">
      <alignment vertical="center"/>
    </xf>
    <xf numFmtId="0" fontId="40" fillId="11" borderId="0" xfId="0" applyFont="1" applyFill="1"/>
    <xf numFmtId="0" fontId="0" fillId="10" borderId="0" xfId="0" applyFill="1"/>
    <xf numFmtId="0" fontId="0" fillId="9" borderId="0" xfId="0" applyFill="1"/>
    <xf numFmtId="0" fontId="0" fillId="2" borderId="0" xfId="0" applyFont="1" applyFill="1" applyAlignment="1">
      <alignment horizontal="right"/>
    </xf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5" xfId="0" applyFill="1" applyBorder="1"/>
    <xf numFmtId="0" fontId="0" fillId="2" borderId="0" xfId="0" applyFill="1" applyBorder="1"/>
    <xf numFmtId="0" fontId="3" fillId="2" borderId="0" xfId="0" applyFont="1" applyFill="1" applyBorder="1" applyAlignment="1">
      <alignment vertical="center"/>
    </xf>
    <xf numFmtId="0" fontId="0" fillId="2" borderId="12" xfId="0" applyFill="1" applyBorder="1"/>
    <xf numFmtId="0" fontId="0" fillId="2" borderId="0" xfId="0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4" xfId="0" applyFill="1" applyBorder="1" applyAlignment="1">
      <alignment horizontal="center"/>
    </xf>
    <xf numFmtId="0" fontId="0" fillId="2" borderId="15" xfId="0" applyFill="1" applyBorder="1"/>
    <xf numFmtId="0" fontId="0" fillId="2" borderId="10" xfId="0" applyFill="1" applyBorder="1" applyAlignment="1">
      <alignment horizontal="center"/>
    </xf>
    <xf numFmtId="0" fontId="3" fillId="2" borderId="10" xfId="0" applyFont="1" applyFill="1" applyBorder="1" applyAlignment="1"/>
    <xf numFmtId="0" fontId="3" fillId="2" borderId="0" xfId="0" applyFont="1" applyFill="1" applyBorder="1" applyAlignment="1"/>
    <xf numFmtId="0" fontId="2" fillId="2" borderId="5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167" fontId="0" fillId="2" borderId="0" xfId="0" applyNumberForma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168" fontId="0" fillId="2" borderId="0" xfId="0" applyNumberFormat="1" applyFill="1" applyBorder="1" applyAlignment="1">
      <alignment horizontal="center"/>
    </xf>
    <xf numFmtId="4" fontId="0" fillId="2" borderId="0" xfId="0" applyNumberForma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4" fontId="0" fillId="2" borderId="12" xfId="0" applyNumberFormat="1" applyFill="1" applyBorder="1" applyAlignment="1">
      <alignment horizontal="center"/>
    </xf>
    <xf numFmtId="0" fontId="5" fillId="2" borderId="0" xfId="0" applyFont="1" applyFill="1" applyBorder="1"/>
    <xf numFmtId="0" fontId="2" fillId="2" borderId="5" xfId="0" applyFont="1" applyFill="1" applyBorder="1" applyAlignment="1"/>
    <xf numFmtId="165" fontId="5" fillId="2" borderId="0" xfId="0" applyNumberFormat="1" applyFont="1" applyFill="1" applyBorder="1" applyAlignment="1">
      <alignment horizontal="center"/>
    </xf>
    <xf numFmtId="167" fontId="5" fillId="2" borderId="0" xfId="0" applyNumberFormat="1" applyFont="1" applyFill="1" applyBorder="1" applyAlignment="1">
      <alignment horizontal="center"/>
    </xf>
    <xf numFmtId="2" fontId="0" fillId="2" borderId="12" xfId="0" applyNumberFormat="1" applyFill="1" applyBorder="1" applyAlignment="1">
      <alignment horizontal="center"/>
    </xf>
    <xf numFmtId="0" fontId="3" fillId="2" borderId="10" xfId="0" applyFont="1" applyFill="1" applyBorder="1" applyAlignment="1">
      <alignment vertical="center"/>
    </xf>
    <xf numFmtId="0" fontId="0" fillId="2" borderId="5" xfId="0" applyFill="1" applyBorder="1" applyAlignment="1">
      <alignment horizontal="left"/>
    </xf>
    <xf numFmtId="4" fontId="41" fillId="9" borderId="0" xfId="0" applyNumberFormat="1" applyFont="1" applyFill="1" applyBorder="1" applyAlignment="1">
      <alignment horizontal="center"/>
    </xf>
    <xf numFmtId="4" fontId="41" fillId="10" borderId="0" xfId="0" applyNumberFormat="1" applyFont="1" applyFill="1" applyBorder="1" applyAlignment="1">
      <alignment horizontal="center"/>
    </xf>
    <xf numFmtId="168" fontId="41" fillId="10" borderId="0" xfId="0" applyNumberFormat="1" applyFont="1" applyFill="1" applyBorder="1" applyAlignment="1">
      <alignment horizontal="center"/>
    </xf>
    <xf numFmtId="0" fontId="0" fillId="2" borderId="0" xfId="0" applyFont="1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2" borderId="5" xfId="0" applyFont="1" applyFill="1" applyBorder="1" applyAlignment="1">
      <alignment horizontal="left"/>
    </xf>
    <xf numFmtId="0" fontId="40" fillId="11" borderId="0" xfId="0" applyFont="1" applyFill="1" applyBorder="1" applyAlignment="1">
      <alignment horizontal="center"/>
    </xf>
    <xf numFmtId="0" fontId="0" fillId="2" borderId="13" xfId="0" applyFill="1" applyBorder="1" applyAlignment="1">
      <alignment horizontal="left"/>
    </xf>
    <xf numFmtId="4" fontId="0" fillId="2" borderId="14" xfId="0" applyNumberFormat="1" applyFill="1" applyBorder="1" applyAlignment="1">
      <alignment horizontal="center"/>
    </xf>
    <xf numFmtId="4" fontId="41" fillId="10" borderId="14" xfId="0" applyNumberFormat="1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3" fillId="2" borderId="0" xfId="0" applyFont="1" applyFill="1" applyAlignment="1">
      <alignment horizontal="left" vertical="center"/>
    </xf>
    <xf numFmtId="0" fontId="2" fillId="2" borderId="0" xfId="0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ont="1" applyFill="1" applyBorder="1" applyAlignment="1">
      <alignment horizontal="right"/>
    </xf>
    <xf numFmtId="0" fontId="0" fillId="0" borderId="0" xfId="0"/>
    <xf numFmtId="0" fontId="0" fillId="0" borderId="0" xfId="0" applyAlignment="1">
      <alignment horizontal="center"/>
    </xf>
    <xf numFmtId="167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0" fontId="0" fillId="12" borderId="0" xfId="0" applyFill="1"/>
    <xf numFmtId="165" fontId="5" fillId="13" borderId="0" xfId="0" applyNumberFormat="1" applyFont="1" applyFill="1" applyBorder="1" applyAlignment="1">
      <alignment horizontal="center"/>
    </xf>
    <xf numFmtId="167" fontId="5" fillId="13" borderId="0" xfId="0" applyNumberFormat="1" applyFont="1" applyFill="1" applyBorder="1" applyAlignment="1">
      <alignment horizontal="center"/>
    </xf>
    <xf numFmtId="2" fontId="5" fillId="13" borderId="0" xfId="0" applyNumberFormat="1" applyFont="1" applyFill="1" applyBorder="1" applyAlignment="1">
      <alignment horizontal="center"/>
    </xf>
    <xf numFmtId="165" fontId="6" fillId="13" borderId="14" xfId="0" applyNumberFormat="1" applyFont="1" applyFill="1" applyBorder="1" applyAlignment="1">
      <alignment horizontal="center"/>
    </xf>
    <xf numFmtId="0" fontId="5" fillId="13" borderId="0" xfId="0" applyFont="1" applyFill="1" applyBorder="1"/>
    <xf numFmtId="0" fontId="0" fillId="11" borderId="0" xfId="0" applyFill="1"/>
    <xf numFmtId="2" fontId="41" fillId="10" borderId="0" xfId="0" applyNumberFormat="1" applyFont="1" applyFill="1" applyBorder="1" applyAlignment="1">
      <alignment horizontal="center"/>
    </xf>
    <xf numFmtId="168" fontId="41" fillId="9" borderId="0" xfId="0" applyNumberFormat="1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1" fillId="2" borderId="0" xfId="0" applyFont="1" applyFill="1" applyBorder="1" applyAlignment="1">
      <alignment horizontal="center"/>
    </xf>
    <xf numFmtId="2" fontId="41" fillId="9" borderId="0" xfId="0" applyNumberFormat="1" applyFont="1" applyFill="1" applyBorder="1" applyAlignment="1">
      <alignment horizontal="center"/>
    </xf>
    <xf numFmtId="180" fontId="0" fillId="2" borderId="0" xfId="0" applyNumberFormat="1" applyFill="1" applyAlignment="1">
      <alignment horizontal="center"/>
    </xf>
    <xf numFmtId="179" fontId="0" fillId="2" borderId="0" xfId="0" applyNumberFormat="1" applyFill="1"/>
    <xf numFmtId="165" fontId="0" fillId="2" borderId="0" xfId="0" applyNumberFormat="1" applyFill="1"/>
    <xf numFmtId="169" fontId="0" fillId="2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81" fontId="0" fillId="0" borderId="0" xfId="0" applyNumberFormat="1" applyAlignment="1">
      <alignment horizontal="center"/>
    </xf>
    <xf numFmtId="10" fontId="0" fillId="0" borderId="0" xfId="85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/>
    <xf numFmtId="0" fontId="0" fillId="2" borderId="0" xfId="0" applyFill="1" applyAlignment="1">
      <alignment wrapText="1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0" borderId="0" xfId="0" applyNumberFormat="1" applyBorder="1"/>
    <xf numFmtId="0" fontId="41" fillId="9" borderId="0" xfId="0" applyFont="1" applyFill="1" applyBorder="1"/>
    <xf numFmtId="0" fontId="41" fillId="10" borderId="0" xfId="0" applyFont="1" applyFill="1" applyBorder="1"/>
    <xf numFmtId="0" fontId="0" fillId="0" borderId="0" xfId="0" applyAlignment="1">
      <alignment horizontal="center"/>
    </xf>
    <xf numFmtId="182" fontId="0" fillId="0" borderId="0" xfId="0" applyNumberFormat="1" applyBorder="1"/>
    <xf numFmtId="0" fontId="0" fillId="14" borderId="0" xfId="0" applyFill="1"/>
    <xf numFmtId="0" fontId="0" fillId="13" borderId="0" xfId="0" applyFill="1"/>
    <xf numFmtId="14" fontId="0" fillId="13" borderId="0" xfId="0" applyNumberFormat="1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1" fontId="0" fillId="2" borderId="0" xfId="0" applyNumberFormat="1" applyFill="1" applyAlignment="1">
      <alignment horizontal="center"/>
    </xf>
    <xf numFmtId="182" fontId="0" fillId="2" borderId="0" xfId="0" applyNumberFormat="1" applyFill="1" applyAlignment="1">
      <alignment horizontal="center"/>
    </xf>
    <xf numFmtId="182" fontId="0" fillId="2" borderId="0" xfId="0" applyNumberFormat="1" applyFill="1" applyBorder="1" applyAlignment="1">
      <alignment horizontal="center"/>
    </xf>
    <xf numFmtId="182" fontId="0" fillId="2" borderId="0" xfId="0" quotePrefix="1" applyNumberFormat="1" applyFill="1" applyBorder="1" applyAlignment="1">
      <alignment horizontal="center"/>
    </xf>
    <xf numFmtId="166" fontId="0" fillId="13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/>
    </xf>
    <xf numFmtId="2" fontId="40" fillId="11" borderId="0" xfId="0" applyNumberFormat="1" applyFont="1" applyFill="1" applyBorder="1" applyAlignment="1">
      <alignment horizontal="center"/>
    </xf>
    <xf numFmtId="179" fontId="0" fillId="0" borderId="0" xfId="0" applyNumberFormat="1" applyBorder="1" applyAlignment="1">
      <alignment horizontal="center"/>
    </xf>
    <xf numFmtId="169" fontId="0" fillId="0" borderId="0" xfId="0" applyNumberFormat="1" applyBorder="1" applyAlignment="1">
      <alignment horizontal="center"/>
    </xf>
    <xf numFmtId="0" fontId="0" fillId="2" borderId="0" xfId="0" applyFont="1" applyFill="1" applyBorder="1" applyAlignment="1"/>
    <xf numFmtId="16" fontId="0" fillId="2" borderId="0" xfId="0" applyNumberFormat="1" applyFill="1" applyBorder="1"/>
    <xf numFmtId="0" fontId="0" fillId="0" borderId="0" xfId="0" applyAlignment="1">
      <alignment horizontal="center"/>
    </xf>
    <xf numFmtId="9" fontId="0" fillId="2" borderId="0" xfId="85" applyFont="1" applyFill="1" applyBorder="1"/>
    <xf numFmtId="0" fontId="0" fillId="0" borderId="0" xfId="0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15" borderId="0" xfId="0" applyFill="1" applyAlignment="1">
      <alignment horizontal="center"/>
    </xf>
    <xf numFmtId="0" fontId="43" fillId="2" borderId="0" xfId="0" applyFont="1" applyFill="1"/>
    <xf numFmtId="0" fontId="2" fillId="2" borderId="5" xfId="0" applyFont="1" applyFill="1" applyBorder="1" applyAlignment="1">
      <alignment horizontal="left"/>
    </xf>
    <xf numFmtId="0" fontId="0" fillId="2" borderId="0" xfId="0" applyFill="1" applyBorder="1" applyAlignment="1">
      <alignment horizontal="center"/>
    </xf>
    <xf numFmtId="14" fontId="0" fillId="2" borderId="0" xfId="0" applyNumberFormat="1" applyFill="1"/>
    <xf numFmtId="0" fontId="42" fillId="2" borderId="0" xfId="71" applyFont="1" applyFill="1" applyAlignment="1">
      <alignment horizontal="left"/>
    </xf>
    <xf numFmtId="182" fontId="0" fillId="2" borderId="0" xfId="0" applyNumberFormat="1" applyFill="1"/>
    <xf numFmtId="182" fontId="0" fillId="2" borderId="0" xfId="85" applyNumberFormat="1" applyFont="1" applyFill="1"/>
    <xf numFmtId="166" fontId="0" fillId="13" borderId="0" xfId="0" applyNumberFormat="1" applyFill="1" applyAlignment="1">
      <alignment horizontal="center" vertical="center" wrapText="1"/>
    </xf>
    <xf numFmtId="0" fontId="0" fillId="2" borderId="0" xfId="0" quotePrefix="1" applyFill="1"/>
    <xf numFmtId="0" fontId="44" fillId="2" borderId="0" xfId="99" applyFont="1" applyFill="1" applyBorder="1" applyAlignment="1">
      <alignment horizontal="center"/>
    </xf>
    <xf numFmtId="166" fontId="0" fillId="2" borderId="0" xfId="0" applyNumberFormat="1" applyFill="1" applyAlignment="1">
      <alignment horizontal="center" vertical="center" wrapText="1"/>
    </xf>
    <xf numFmtId="0" fontId="44" fillId="16" borderId="0" xfId="99" applyFont="1" applyFill="1" applyBorder="1" applyAlignment="1">
      <alignment horizontal="center"/>
    </xf>
    <xf numFmtId="0" fontId="46" fillId="2" borderId="0" xfId="0" applyFont="1" applyFill="1" applyBorder="1"/>
    <xf numFmtId="0" fontId="46" fillId="2" borderId="0" xfId="0" applyFont="1" applyFill="1"/>
    <xf numFmtId="16" fontId="2" fillId="2" borderId="0" xfId="0" applyNumberFormat="1" applyFont="1" applyFill="1" applyBorder="1"/>
    <xf numFmtId="0" fontId="0" fillId="0" borderId="0" xfId="0" applyFont="1"/>
    <xf numFmtId="2" fontId="0" fillId="11" borderId="0" xfId="0" applyNumberFormat="1" applyFill="1"/>
    <xf numFmtId="0" fontId="0" fillId="11" borderId="0" xfId="0" applyFill="1" applyAlignment="1">
      <alignment horizontal="right"/>
    </xf>
    <xf numFmtId="1" fontId="0" fillId="11" borderId="0" xfId="0" applyNumberFormat="1" applyFill="1" applyAlignment="1">
      <alignment horizontal="left"/>
    </xf>
    <xf numFmtId="0" fontId="0" fillId="2" borderId="0" xfId="0" applyFill="1" applyAlignment="1">
      <alignment horizontal="center"/>
    </xf>
    <xf numFmtId="0" fontId="4" fillId="2" borderId="0" xfId="99" applyFont="1" applyFill="1" applyBorder="1" applyAlignment="1">
      <alignment horizontal="center"/>
    </xf>
    <xf numFmtId="0" fontId="4" fillId="2" borderId="0" xfId="99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81" fontId="0" fillId="0" borderId="0" xfId="85" applyNumberFormat="1" applyFont="1" applyAlignment="1">
      <alignment horizontal="center"/>
    </xf>
    <xf numFmtId="180" fontId="0" fillId="2" borderId="0" xfId="0" applyNumberFormat="1" applyFill="1" applyBorder="1" applyAlignment="1">
      <alignment horizontal="center"/>
    </xf>
    <xf numFmtId="179" fontId="0" fillId="2" borderId="0" xfId="0" applyNumberFormat="1" applyFill="1" applyBorder="1"/>
    <xf numFmtId="165" fontId="0" fillId="2" borderId="0" xfId="0" applyNumberFormat="1" applyFill="1" applyBorder="1"/>
    <xf numFmtId="169" fontId="0" fillId="2" borderId="0" xfId="0" applyNumberFormat="1" applyFill="1" applyBorder="1"/>
    <xf numFmtId="0" fontId="2" fillId="13" borderId="0" xfId="0" applyFont="1" applyFill="1" applyAlignment="1">
      <alignment horizontal="right"/>
    </xf>
    <xf numFmtId="14" fontId="2" fillId="13" borderId="0" xfId="0" applyNumberFormat="1" applyFont="1" applyFill="1" applyAlignment="1">
      <alignment horizontal="center"/>
    </xf>
    <xf numFmtId="0" fontId="2" fillId="13" borderId="0" xfId="0" applyFont="1" applyFill="1" applyAlignment="1">
      <alignment horizontal="left"/>
    </xf>
    <xf numFmtId="0" fontId="46" fillId="2" borderId="0" xfId="0" applyFont="1" applyFill="1" applyAlignment="1">
      <alignment horizontal="left"/>
    </xf>
    <xf numFmtId="9" fontId="46" fillId="2" borderId="0" xfId="85" applyFont="1" applyFill="1" applyAlignment="1">
      <alignment horizontal="left"/>
    </xf>
    <xf numFmtId="16" fontId="46" fillId="2" borderId="0" xfId="0" applyNumberFormat="1" applyFont="1" applyFill="1" applyBorder="1" applyAlignment="1">
      <alignment horizontal="left"/>
    </xf>
    <xf numFmtId="16" fontId="46" fillId="2" borderId="0" xfId="0" applyNumberFormat="1" applyFont="1" applyFill="1" applyAlignment="1">
      <alignment horizontal="left"/>
    </xf>
    <xf numFmtId="0" fontId="46" fillId="2" borderId="0" xfId="0" applyFont="1" applyFill="1" applyBorder="1" applyAlignment="1">
      <alignment horizontal="left"/>
    </xf>
    <xf numFmtId="9" fontId="46" fillId="2" borderId="0" xfId="85" applyFont="1" applyFill="1" applyBorder="1" applyAlignment="1">
      <alignment horizontal="left"/>
    </xf>
    <xf numFmtId="0" fontId="0" fillId="13" borderId="0" xfId="0" applyFill="1" applyAlignment="1">
      <alignment horizontal="center"/>
    </xf>
    <xf numFmtId="167" fontId="0" fillId="13" borderId="0" xfId="0" applyNumberFormat="1" applyFill="1" applyAlignment="1">
      <alignment horizontal="center"/>
    </xf>
    <xf numFmtId="3" fontId="0" fillId="13" borderId="0" xfId="0" applyNumberFormat="1" applyFill="1" applyAlignment="1">
      <alignment horizontal="center"/>
    </xf>
    <xf numFmtId="167" fontId="0" fillId="2" borderId="0" xfId="0" applyNumberFormat="1" applyFill="1" applyAlignment="1">
      <alignment horizontal="center"/>
    </xf>
    <xf numFmtId="3" fontId="0" fillId="2" borderId="0" xfId="0" applyNumberFormat="1" applyFill="1" applyAlignment="1">
      <alignment horizontal="center"/>
    </xf>
    <xf numFmtId="0" fontId="0" fillId="2" borderId="0" xfId="1" applyFont="1" applyFill="1" applyAlignment="1">
      <alignment horizontal="center"/>
    </xf>
    <xf numFmtId="167" fontId="0" fillId="2" borderId="0" xfId="0" quotePrefix="1" applyNumberFormat="1" applyFill="1" applyAlignment="1">
      <alignment horizontal="center"/>
    </xf>
    <xf numFmtId="0" fontId="0" fillId="2" borderId="0" xfId="0" applyFill="1" applyAlignment="1"/>
    <xf numFmtId="0" fontId="0" fillId="11" borderId="0" xfId="0" applyFill="1" applyAlignment="1">
      <alignment horizontal="center"/>
    </xf>
    <xf numFmtId="0" fontId="48" fillId="17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center"/>
    </xf>
    <xf numFmtId="3" fontId="2" fillId="2" borderId="0" xfId="0" applyNumberFormat="1" applyFont="1" applyFill="1" applyAlignment="1">
      <alignment horizontal="center"/>
    </xf>
    <xf numFmtId="14" fontId="0" fillId="2" borderId="0" xfId="0" applyNumberFormat="1" applyFill="1" applyAlignment="1"/>
    <xf numFmtId="3" fontId="49" fillId="0" borderId="0" xfId="108" applyNumberFormat="1" applyFont="1" applyBorder="1" applyAlignment="1" applyProtection="1">
      <alignment horizontal="center"/>
      <protection hidden="1"/>
    </xf>
    <xf numFmtId="3" fontId="49" fillId="0" borderId="0" xfId="129" applyNumberFormat="1" applyFont="1" applyBorder="1" applyAlignment="1" applyProtection="1">
      <alignment horizontal="center"/>
      <protection hidden="1"/>
    </xf>
    <xf numFmtId="181" fontId="0" fillId="2" borderId="0" xfId="0" applyNumberFormat="1" applyFill="1" applyAlignment="1">
      <alignment horizontal="center"/>
    </xf>
    <xf numFmtId="169" fontId="0" fillId="2" borderId="0" xfId="0" applyNumberFormat="1" applyFill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9" fontId="0" fillId="2" borderId="0" xfId="0" applyNumberFormat="1" applyFont="1" applyFill="1" applyBorder="1" applyAlignment="1">
      <alignment horizontal="center"/>
    </xf>
    <xf numFmtId="180" fontId="0" fillId="2" borderId="0" xfId="0" applyNumberFormat="1" applyFont="1" applyFill="1" applyBorder="1" applyAlignment="1">
      <alignment horizontal="center"/>
    </xf>
    <xf numFmtId="179" fontId="0" fillId="2" borderId="0" xfId="0" applyNumberFormat="1" applyFont="1" applyFill="1" applyBorder="1" applyAlignment="1">
      <alignment horizontal="center"/>
    </xf>
    <xf numFmtId="2" fontId="2" fillId="2" borderId="0" xfId="0" applyNumberFormat="1" applyFont="1" applyFill="1" applyBorder="1" applyAlignment="1">
      <alignment horizontal="center"/>
    </xf>
    <xf numFmtId="169" fontId="2" fillId="2" borderId="0" xfId="0" applyNumberFormat="1" applyFont="1" applyFill="1" applyBorder="1" applyAlignment="1">
      <alignment horizontal="center"/>
    </xf>
    <xf numFmtId="183" fontId="2" fillId="2" borderId="0" xfId="0" applyNumberFormat="1" applyFont="1" applyFill="1" applyBorder="1" applyAlignment="1">
      <alignment horizontal="center"/>
    </xf>
    <xf numFmtId="179" fontId="2" fillId="2" borderId="0" xfId="0" applyNumberFormat="1" applyFont="1" applyFill="1" applyBorder="1" applyAlignment="1">
      <alignment horizontal="center"/>
    </xf>
    <xf numFmtId="0" fontId="2" fillId="13" borderId="0" xfId="0" applyFont="1" applyFill="1" applyAlignment="1">
      <alignment horizontal="center" vertical="center"/>
    </xf>
    <xf numFmtId="14" fontId="2" fillId="13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11" borderId="0" xfId="0" applyFont="1" applyFill="1" applyAlignment="1">
      <alignment horizontal="center"/>
    </xf>
    <xf numFmtId="167" fontId="0" fillId="11" borderId="0" xfId="0" applyNumberFormat="1" applyFill="1" applyAlignment="1">
      <alignment horizontal="center"/>
    </xf>
    <xf numFmtId="184" fontId="0" fillId="11" borderId="0" xfId="0" applyNumberFormat="1" applyFill="1" applyAlignment="1">
      <alignment horizontal="center"/>
    </xf>
    <xf numFmtId="184" fontId="2" fillId="11" borderId="0" xfId="0" applyNumberFormat="1" applyFont="1" applyFill="1" applyAlignment="1">
      <alignment horizontal="center"/>
    </xf>
    <xf numFmtId="185" fontId="2" fillId="11" borderId="0" xfId="0" applyNumberFormat="1" applyFont="1" applyFill="1" applyAlignment="1">
      <alignment horizontal="center"/>
    </xf>
    <xf numFmtId="3" fontId="0" fillId="13" borderId="0" xfId="0" applyNumberFormat="1" applyFont="1" applyFill="1" applyAlignment="1">
      <alignment horizontal="center"/>
    </xf>
    <xf numFmtId="0" fontId="46" fillId="2" borderId="0" xfId="0" applyFont="1" applyFill="1" applyAlignment="1">
      <alignment horizontal="center"/>
    </xf>
    <xf numFmtId="0" fontId="2" fillId="11" borderId="0" xfId="0" applyFont="1" applyFill="1" applyBorder="1" applyAlignment="1">
      <alignment horizontal="center"/>
    </xf>
    <xf numFmtId="0" fontId="2" fillId="2" borderId="18" xfId="0" applyFont="1" applyFill="1" applyBorder="1" applyAlignment="1">
      <alignment horizontal="right"/>
    </xf>
    <xf numFmtId="0" fontId="0" fillId="13" borderId="19" xfId="0" applyFont="1" applyFill="1" applyBorder="1" applyAlignment="1">
      <alignment horizontal="center"/>
    </xf>
    <xf numFmtId="14" fontId="2" fillId="11" borderId="0" xfId="0" applyNumberFormat="1" applyFont="1" applyFill="1" applyAlignment="1">
      <alignment horizontal="center"/>
    </xf>
    <xf numFmtId="14" fontId="0" fillId="11" borderId="0" xfId="0" applyNumberFormat="1" applyFill="1" applyAlignment="1">
      <alignment horizontal="center"/>
    </xf>
    <xf numFmtId="14" fontId="2" fillId="11" borderId="0" xfId="0" applyNumberFormat="1" applyFont="1" applyFill="1" applyAlignment="1">
      <alignment horizontal="center"/>
    </xf>
    <xf numFmtId="186" fontId="0" fillId="0" borderId="0" xfId="0" applyNumberFormat="1"/>
    <xf numFmtId="167" fontId="0" fillId="0" borderId="0" xfId="0" applyNumberFormat="1"/>
    <xf numFmtId="184" fontId="0" fillId="0" borderId="0" xfId="0" applyNumberFormat="1"/>
    <xf numFmtId="0" fontId="3" fillId="0" borderId="0" xfId="0" applyFont="1"/>
    <xf numFmtId="3" fontId="0" fillId="0" borderId="0" xfId="0" applyNumberFormat="1"/>
    <xf numFmtId="3" fontId="0" fillId="0" borderId="0" xfId="0" applyNumberFormat="1" applyAlignment="1">
      <alignment horizontal="center" vertical="center"/>
    </xf>
    <xf numFmtId="3" fontId="0" fillId="2" borderId="0" xfId="0" applyNumberFormat="1" applyFont="1" applyFill="1" applyBorder="1"/>
    <xf numFmtId="3" fontId="46" fillId="2" borderId="0" xfId="0" applyNumberFormat="1" applyFont="1" applyFill="1" applyBorder="1"/>
    <xf numFmtId="3" fontId="46" fillId="2" borderId="0" xfId="0" applyNumberFormat="1" applyFont="1" applyFill="1"/>
    <xf numFmtId="3" fontId="0" fillId="2" borderId="0" xfId="0" applyNumberFormat="1" applyFill="1"/>
    <xf numFmtId="0" fontId="0" fillId="2" borderId="0" xfId="0" applyFill="1" applyAlignment="1">
      <alignment horizontal="center"/>
    </xf>
    <xf numFmtId="14" fontId="0" fillId="2" borderId="0" xfId="0" applyNumberFormat="1" applyFill="1" applyAlignment="1">
      <alignment horizontal="center" wrapText="1"/>
    </xf>
    <xf numFmtId="0" fontId="0" fillId="2" borderId="0" xfId="0" applyFill="1" applyAlignment="1">
      <alignment horizontal="center" wrapText="1"/>
    </xf>
    <xf numFmtId="182" fontId="0" fillId="2" borderId="0" xfId="85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2" borderId="0" xfId="0" applyFill="1" applyAlignment="1">
      <alignment horizontal="center"/>
    </xf>
    <xf numFmtId="182" fontId="44" fillId="0" borderId="0" xfId="71" applyNumberFormat="1" applyFont="1" applyAlignment="1" applyProtection="1">
      <alignment horizontal="center"/>
    </xf>
    <xf numFmtId="182" fontId="44" fillId="0" borderId="0" xfId="71" applyNumberFormat="1" applyFont="1" applyAlignment="1" applyProtection="1">
      <alignment horizontal="center"/>
    </xf>
    <xf numFmtId="182" fontId="0" fillId="0" borderId="0" xfId="0" applyNumberFormat="1" applyFill="1" applyBorder="1" applyAlignment="1">
      <alignment horizontal="center"/>
    </xf>
    <xf numFmtId="4" fontId="0" fillId="2" borderId="0" xfId="0" applyNumberFormat="1" applyFill="1" applyAlignment="1">
      <alignment horizontal="center"/>
    </xf>
    <xf numFmtId="14" fontId="0" fillId="13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181" fontId="0" fillId="2" borderId="0" xfId="85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 vertical="center"/>
    </xf>
    <xf numFmtId="14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10" fontId="0" fillId="2" borderId="0" xfId="85" applyNumberFormat="1" applyFont="1" applyFill="1" applyAlignment="1">
      <alignment horizontal="center"/>
    </xf>
    <xf numFmtId="167" fontId="0" fillId="2" borderId="0" xfId="85" applyNumberFormat="1" applyFont="1" applyFill="1" applyAlignment="1">
      <alignment horizontal="center"/>
    </xf>
    <xf numFmtId="9" fontId="0" fillId="0" borderId="0" xfId="85" applyFont="1" applyAlignment="1">
      <alignment horizontal="center"/>
    </xf>
    <xf numFmtId="16" fontId="46" fillId="2" borderId="0" xfId="0" applyNumberFormat="1" applyFont="1" applyFill="1"/>
    <xf numFmtId="14" fontId="0" fillId="2" borderId="0" xfId="0" applyNumberFormat="1" applyFill="1" applyAlignment="1">
      <alignment wrapText="1"/>
    </xf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3" fontId="0" fillId="2" borderId="0" xfId="0" applyNumberFormat="1" applyFont="1" applyFill="1" applyBorder="1" applyAlignment="1">
      <alignment horizontal="center"/>
    </xf>
    <xf numFmtId="2" fontId="46" fillId="2" borderId="0" xfId="0" applyNumberFormat="1" applyFont="1" applyFill="1" applyBorder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left"/>
    </xf>
    <xf numFmtId="14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166" fontId="0" fillId="11" borderId="0" xfId="0" applyNumberFormat="1" applyFill="1" applyAlignment="1">
      <alignment horizontal="center"/>
    </xf>
    <xf numFmtId="179" fontId="0" fillId="11" borderId="0" xfId="0" applyNumberFormat="1" applyFill="1" applyAlignment="1">
      <alignment horizontal="center"/>
    </xf>
    <xf numFmtId="169" fontId="0" fillId="11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0" fontId="50" fillId="17" borderId="0" xfId="0" applyFont="1" applyFill="1" applyAlignment="1">
      <alignment horizontal="center"/>
    </xf>
    <xf numFmtId="180" fontId="0" fillId="13" borderId="0" xfId="0" applyNumberFormat="1" applyFill="1" applyAlignment="1">
      <alignment horizontal="center"/>
    </xf>
    <xf numFmtId="165" fontId="0" fillId="13" borderId="0" xfId="0" applyNumberFormat="1" applyFill="1" applyAlignment="1">
      <alignment horizontal="center"/>
    </xf>
    <xf numFmtId="180" fontId="0" fillId="11" borderId="0" xfId="0" applyNumberFormat="1" applyFill="1" applyAlignment="1">
      <alignment horizontal="center"/>
    </xf>
    <xf numFmtId="165" fontId="0" fillId="11" borderId="0" xfId="0" applyNumberFormat="1" applyFill="1" applyAlignment="1">
      <alignment horizontal="center"/>
    </xf>
    <xf numFmtId="3" fontId="0" fillId="11" borderId="0" xfId="0" applyNumberFormat="1" applyFill="1" applyAlignment="1">
      <alignment horizontal="center"/>
    </xf>
    <xf numFmtId="0" fontId="51" fillId="17" borderId="0" xfId="0" applyFont="1" applyFill="1" applyAlignment="1">
      <alignment horizontal="center"/>
    </xf>
    <xf numFmtId="167" fontId="51" fillId="17" borderId="0" xfId="0" applyNumberFormat="1" applyFont="1" applyFill="1" applyAlignment="1">
      <alignment horizontal="center"/>
    </xf>
    <xf numFmtId="3" fontId="51" fillId="17" borderId="0" xfId="0" applyNumberFormat="1" applyFont="1" applyFill="1" applyAlignment="1">
      <alignment horizontal="center"/>
    </xf>
    <xf numFmtId="187" fontId="51" fillId="17" borderId="0" xfId="0" applyNumberFormat="1" applyFont="1" applyFill="1" applyAlignment="1">
      <alignment horizontal="center"/>
    </xf>
    <xf numFmtId="169" fontId="51" fillId="17" borderId="0" xfId="0" applyNumberFormat="1" applyFont="1" applyFill="1" applyAlignment="1">
      <alignment horizontal="center"/>
    </xf>
    <xf numFmtId="2" fontId="51" fillId="17" borderId="0" xfId="0" applyNumberFormat="1" applyFont="1" applyFill="1" applyAlignment="1">
      <alignment horizontal="center"/>
    </xf>
    <xf numFmtId="169" fontId="0" fillId="13" borderId="0" xfId="0" applyNumberFormat="1" applyFill="1" applyAlignment="1">
      <alignment horizontal="center"/>
    </xf>
    <xf numFmtId="183" fontId="51" fillId="17" borderId="0" xfId="0" applyNumberFormat="1" applyFont="1" applyFill="1" applyAlignment="1">
      <alignment horizontal="center"/>
    </xf>
    <xf numFmtId="179" fontId="51" fillId="17" borderId="0" xfId="0" applyNumberFormat="1" applyFont="1" applyFill="1" applyAlignment="1">
      <alignment horizontal="center"/>
    </xf>
    <xf numFmtId="184" fontId="51" fillId="17" borderId="0" xfId="0" applyNumberFormat="1" applyFont="1" applyFill="1" applyAlignment="1">
      <alignment horizontal="center"/>
    </xf>
    <xf numFmtId="14" fontId="0" fillId="0" borderId="0" xfId="0" applyNumberForma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2" fillId="11" borderId="22" xfId="0" applyFont="1" applyFill="1" applyBorder="1" applyAlignment="1">
      <alignment horizontal="center"/>
    </xf>
    <xf numFmtId="0" fontId="2" fillId="11" borderId="25" xfId="0" applyFont="1" applyFill="1" applyBorder="1" applyAlignment="1">
      <alignment horizontal="center"/>
    </xf>
    <xf numFmtId="14" fontId="0" fillId="11" borderId="0" xfId="0" applyNumberFormat="1" applyFill="1"/>
    <xf numFmtId="10" fontId="0" fillId="0" borderId="0" xfId="0" applyNumberFormat="1" applyAlignment="1">
      <alignment horizontal="center"/>
    </xf>
    <xf numFmtId="0" fontId="2" fillId="2" borderId="21" xfId="0" applyFont="1" applyFill="1" applyBorder="1" applyAlignment="1">
      <alignment horizontal="right"/>
    </xf>
    <xf numFmtId="14" fontId="2" fillId="13" borderId="24" xfId="0" applyNumberFormat="1" applyFont="1" applyFill="1" applyBorder="1" applyAlignment="1">
      <alignment horizontal="center"/>
    </xf>
    <xf numFmtId="0" fontId="2" fillId="2" borderId="22" xfId="0" applyFont="1" applyFill="1" applyBorder="1" applyAlignment="1">
      <alignment horizontal="right"/>
    </xf>
    <xf numFmtId="1" fontId="2" fillId="13" borderId="25" xfId="0" applyNumberFormat="1" applyFont="1" applyFill="1" applyBorder="1" applyAlignment="1">
      <alignment horizontal="left"/>
    </xf>
    <xf numFmtId="0" fontId="0" fillId="2" borderId="23" xfId="0" applyFont="1" applyFill="1" applyBorder="1" applyAlignment="1">
      <alignment horizontal="right"/>
    </xf>
    <xf numFmtId="166" fontId="0" fillId="2" borderId="26" xfId="0" applyNumberFormat="1" applyFont="1" applyFill="1" applyBorder="1" applyAlignment="1">
      <alignment horizontal="center"/>
    </xf>
    <xf numFmtId="169" fontId="2" fillId="2" borderId="21" xfId="0" applyNumberFormat="1" applyFont="1" applyFill="1" applyBorder="1" applyAlignment="1">
      <alignment horizontal="center"/>
    </xf>
    <xf numFmtId="169" fontId="2" fillId="13" borderId="24" xfId="0" applyNumberFormat="1" applyFont="1" applyFill="1" applyBorder="1" applyAlignment="1">
      <alignment horizontal="center"/>
    </xf>
    <xf numFmtId="169" fontId="2" fillId="2" borderId="23" xfId="0" applyNumberFormat="1" applyFont="1" applyFill="1" applyBorder="1" applyAlignment="1">
      <alignment horizontal="center"/>
    </xf>
    <xf numFmtId="169" fontId="2" fillId="13" borderId="26" xfId="0" applyNumberFormat="1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188" fontId="0" fillId="2" borderId="25" xfId="0" applyNumberFormat="1" applyFont="1" applyFill="1" applyBorder="1" applyAlignment="1">
      <alignment horizontal="center"/>
    </xf>
    <xf numFmtId="188" fontId="0" fillId="13" borderId="25" xfId="0" applyNumberFormat="1" applyFont="1" applyFill="1" applyBorder="1" applyAlignment="1">
      <alignment horizontal="center"/>
    </xf>
    <xf numFmtId="188" fontId="0" fillId="13" borderId="26" xfId="0" applyNumberFormat="1" applyFont="1" applyFill="1" applyBorder="1" applyAlignment="1">
      <alignment horizontal="center"/>
    </xf>
    <xf numFmtId="188" fontId="0" fillId="11" borderId="0" xfId="0" applyNumberFormat="1" applyFill="1"/>
    <xf numFmtId="188" fontId="0" fillId="13" borderId="0" xfId="0" applyNumberFormat="1" applyFill="1"/>
    <xf numFmtId="188" fontId="0" fillId="13" borderId="0" xfId="0" applyNumberFormat="1" applyFill="1" applyAlignment="1">
      <alignment horizontal="center" vertical="center" wrapText="1"/>
    </xf>
    <xf numFmtId="2" fontId="0" fillId="13" borderId="0" xfId="0" applyNumberFormat="1" applyFill="1" applyAlignment="1">
      <alignment horizontal="center"/>
    </xf>
    <xf numFmtId="0" fontId="0" fillId="11" borderId="22" xfId="0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25" xfId="0" applyFill="1" applyBorder="1" applyAlignment="1">
      <alignment horizontal="center"/>
    </xf>
    <xf numFmtId="0" fontId="0" fillId="11" borderId="2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26" xfId="0" applyFill="1" applyBorder="1" applyAlignment="1">
      <alignment horizontal="center"/>
    </xf>
    <xf numFmtId="0" fontId="43" fillId="2" borderId="0" xfId="0" applyFont="1" applyFill="1" applyBorder="1" applyAlignment="1">
      <alignment horizontal="center"/>
    </xf>
    <xf numFmtId="3" fontId="43" fillId="2" borderId="0" xfId="0" applyNumberFormat="1" applyFont="1" applyFill="1" applyBorder="1" applyAlignment="1">
      <alignment horizontal="center"/>
    </xf>
    <xf numFmtId="0" fontId="43" fillId="2" borderId="0" xfId="0" applyFont="1" applyFill="1" applyBorder="1" applyAlignment="1">
      <alignment horizontal="center" vertical="center"/>
    </xf>
    <xf numFmtId="3" fontId="43" fillId="2" borderId="0" xfId="0" applyNumberFormat="1" applyFont="1" applyFill="1" applyBorder="1" applyAlignment="1">
      <alignment horizontal="center" vertical="center"/>
    </xf>
    <xf numFmtId="0" fontId="43" fillId="2" borderId="0" xfId="0" applyFont="1" applyFill="1" applyBorder="1"/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 wrapText="1"/>
    </xf>
    <xf numFmtId="0" fontId="3" fillId="2" borderId="10" xfId="0" applyFont="1" applyFill="1" applyBorder="1" applyAlignment="1">
      <alignment horizontal="left" vertical="center" wrapText="1"/>
    </xf>
    <xf numFmtId="0" fontId="3" fillId="2" borderId="0" xfId="0" applyFont="1" applyFill="1" applyBorder="1" applyAlignment="1">
      <alignment horizontal="left" vertical="center" wrapText="1"/>
    </xf>
    <xf numFmtId="0" fontId="5" fillId="13" borderId="0" xfId="0" applyFont="1" applyFill="1" applyBorder="1" applyAlignment="1">
      <alignment horizontal="center"/>
    </xf>
    <xf numFmtId="0" fontId="6" fillId="13" borderId="14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0" fontId="2" fillId="11" borderId="0" xfId="0" applyFont="1" applyFill="1" applyAlignment="1">
      <alignment horizontal="left"/>
    </xf>
    <xf numFmtId="0" fontId="2" fillId="11" borderId="21" xfId="0" applyFont="1" applyFill="1" applyBorder="1" applyAlignment="1">
      <alignment horizontal="center"/>
    </xf>
    <xf numFmtId="0" fontId="2" fillId="11" borderId="10" xfId="0" applyFont="1" applyFill="1" applyBorder="1" applyAlignment="1">
      <alignment horizontal="center"/>
    </xf>
    <xf numFmtId="0" fontId="2" fillId="11" borderId="24" xfId="0" applyFont="1" applyFill="1" applyBorder="1" applyAlignment="1">
      <alignment horizontal="center"/>
    </xf>
    <xf numFmtId="0" fontId="2" fillId="2" borderId="0" xfId="0" applyFont="1" applyFill="1" applyAlignment="1">
      <alignment horizontal="left"/>
    </xf>
    <xf numFmtId="0" fontId="2" fillId="2" borderId="21" xfId="0" applyFont="1" applyFill="1" applyBorder="1" applyAlignment="1">
      <alignment horizontal="center"/>
    </xf>
    <xf numFmtId="0" fontId="2" fillId="2" borderId="24" xfId="0" applyFont="1" applyFill="1" applyBorder="1" applyAlignment="1">
      <alignment horizontal="center"/>
    </xf>
    <xf numFmtId="0" fontId="0" fillId="11" borderId="0" xfId="0" applyFill="1" applyAlignment="1">
      <alignment horizontal="left"/>
    </xf>
    <xf numFmtId="0" fontId="0" fillId="2" borderId="0" xfId="0" applyFill="1" applyAlignment="1"/>
    <xf numFmtId="0" fontId="47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right"/>
    </xf>
    <xf numFmtId="14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</cellXfs>
  <cellStyles count="143">
    <cellStyle name="args.style" xfId="3" xr:uid="{00000000-0005-0000-0000-000000000000}"/>
    <cellStyle name="Calc Currency (0)" xfId="4" xr:uid="{00000000-0005-0000-0000-000001000000}"/>
    <cellStyle name="Comma0" xfId="5" xr:uid="{00000000-0005-0000-0000-000003000000}"/>
    <cellStyle name="Comma0 - Modelo1" xfId="6" xr:uid="{00000000-0005-0000-0000-000004000000}"/>
    <cellStyle name="Comma0 - Style1" xfId="7" xr:uid="{00000000-0005-0000-0000-000005000000}"/>
    <cellStyle name="Comma0_anexos MMM_fiscal20.08.03" xfId="8" xr:uid="{00000000-0005-0000-0000-000006000000}"/>
    <cellStyle name="Comma1 - Modelo2" xfId="9" xr:uid="{00000000-0005-0000-0000-000007000000}"/>
    <cellStyle name="Comma1 - Style2" xfId="10" xr:uid="{00000000-0005-0000-0000-000008000000}"/>
    <cellStyle name="Copied" xfId="11" xr:uid="{00000000-0005-0000-0000-000009000000}"/>
    <cellStyle name="COST1" xfId="12" xr:uid="{00000000-0005-0000-0000-00000A000000}"/>
    <cellStyle name="CUADRO - Style1" xfId="13" xr:uid="{00000000-0005-0000-0000-00000B000000}"/>
    <cellStyle name="CUERPO - Style2" xfId="14" xr:uid="{00000000-0005-0000-0000-00000C000000}"/>
    <cellStyle name="Currency0" xfId="15" xr:uid="{00000000-0005-0000-0000-00000D000000}"/>
    <cellStyle name="Date" xfId="16" xr:uid="{00000000-0005-0000-0000-00000E000000}"/>
    <cellStyle name="Dia" xfId="17" xr:uid="{00000000-0005-0000-0000-00000F000000}"/>
    <cellStyle name="Encabez1" xfId="18" xr:uid="{00000000-0005-0000-0000-000010000000}"/>
    <cellStyle name="Encabez2" xfId="19" xr:uid="{00000000-0005-0000-0000-000011000000}"/>
    <cellStyle name="Encabezado 1 2" xfId="68" xr:uid="{00000000-0005-0000-0000-000012000000}"/>
    <cellStyle name="Entered" xfId="20" xr:uid="{00000000-0005-0000-0000-000013000000}"/>
    <cellStyle name="Euro" xfId="21" xr:uid="{00000000-0005-0000-0000-000014000000}"/>
    <cellStyle name="F2" xfId="22" xr:uid="{00000000-0005-0000-0000-000015000000}"/>
    <cellStyle name="F3" xfId="23" xr:uid="{00000000-0005-0000-0000-000016000000}"/>
    <cellStyle name="F4" xfId="24" xr:uid="{00000000-0005-0000-0000-000017000000}"/>
    <cellStyle name="F5" xfId="25" xr:uid="{00000000-0005-0000-0000-000018000000}"/>
    <cellStyle name="F6" xfId="26" xr:uid="{00000000-0005-0000-0000-000019000000}"/>
    <cellStyle name="F7" xfId="27" xr:uid="{00000000-0005-0000-0000-00001A000000}"/>
    <cellStyle name="F8" xfId="28" xr:uid="{00000000-0005-0000-0000-00001B000000}"/>
    <cellStyle name="Fijo" xfId="29" xr:uid="{00000000-0005-0000-0000-00001C000000}"/>
    <cellStyle name="Financiero" xfId="30" xr:uid="{00000000-0005-0000-0000-00001D000000}"/>
    <cellStyle name="Fixed" xfId="31" xr:uid="{00000000-0005-0000-0000-00001E000000}"/>
    <cellStyle name="Footnote" xfId="32" xr:uid="{00000000-0005-0000-0000-00001F000000}"/>
    <cellStyle name="Footnote 2" xfId="74" xr:uid="{00000000-0005-0000-0000-000020000000}"/>
    <cellStyle name="Grey" xfId="33" xr:uid="{00000000-0005-0000-0000-000021000000}"/>
    <cellStyle name="Grey 2" xfId="75" xr:uid="{00000000-0005-0000-0000-000022000000}"/>
    <cellStyle name="Header1" xfId="34" xr:uid="{00000000-0005-0000-0000-000023000000}"/>
    <cellStyle name="Header2" xfId="35" xr:uid="{00000000-0005-0000-0000-000024000000}"/>
    <cellStyle name="Heading 1" xfId="36" xr:uid="{00000000-0005-0000-0000-000025000000}"/>
    <cellStyle name="Heading 1 2" xfId="134" xr:uid="{00000000-0005-0000-0000-000026000000}"/>
    <cellStyle name="Heading 2" xfId="37" xr:uid="{00000000-0005-0000-0000-000027000000}"/>
    <cellStyle name="Heading 2 2" xfId="135" xr:uid="{00000000-0005-0000-0000-000028000000}"/>
    <cellStyle name="Input [yellow]" xfId="38" xr:uid="{00000000-0005-0000-0000-000029000000}"/>
    <cellStyle name="Input [yellow] 2" xfId="76" xr:uid="{00000000-0005-0000-0000-00002A000000}"/>
    <cellStyle name="Input Cells" xfId="39" xr:uid="{00000000-0005-0000-0000-00002B000000}"/>
    <cellStyle name="Linked Cells" xfId="40" xr:uid="{00000000-0005-0000-0000-00002C000000}"/>
    <cellStyle name="Millares 2" xfId="84" xr:uid="{00000000-0005-0000-0000-00002D000000}"/>
    <cellStyle name="Millares 2 2" xfId="127" xr:uid="{00000000-0005-0000-0000-00002E000000}"/>
    <cellStyle name="Millares 3" xfId="41" xr:uid="{00000000-0005-0000-0000-00002F000000}"/>
    <cellStyle name="Milliers [0]_!!!GO" xfId="42" xr:uid="{00000000-0005-0000-0000-000030000000}"/>
    <cellStyle name="Milliers_!!!GO" xfId="43" xr:uid="{00000000-0005-0000-0000-000031000000}"/>
    <cellStyle name="Monétaire [0]_!!!GO" xfId="44" xr:uid="{00000000-0005-0000-0000-000032000000}"/>
    <cellStyle name="Monétaire_!!!GO" xfId="45" xr:uid="{00000000-0005-0000-0000-000033000000}"/>
    <cellStyle name="Monetario" xfId="46" xr:uid="{00000000-0005-0000-0000-000034000000}"/>
    <cellStyle name="Neutral 2" xfId="47" xr:uid="{00000000-0005-0000-0000-000035000000}"/>
    <cellStyle name="no dec" xfId="48" xr:uid="{00000000-0005-0000-0000-000036000000}"/>
    <cellStyle name="Normal" xfId="0" builtinId="0"/>
    <cellStyle name="Normal - Style1" xfId="49" xr:uid="{00000000-0005-0000-0000-000038000000}"/>
    <cellStyle name="Normal 10" xfId="109" xr:uid="{00000000-0005-0000-0000-000039000000}"/>
    <cellStyle name="Normal 11" xfId="110" xr:uid="{00000000-0005-0000-0000-00003A000000}"/>
    <cellStyle name="Normal 12" xfId="111" xr:uid="{00000000-0005-0000-0000-00003B000000}"/>
    <cellStyle name="Normal 12 2" xfId="140" xr:uid="{00000000-0005-0000-0000-00003C000000}"/>
    <cellStyle name="Normal 13" xfId="113" xr:uid="{00000000-0005-0000-0000-00003D000000}"/>
    <cellStyle name="Normal 13 2" xfId="141" xr:uid="{00000000-0005-0000-0000-00003E000000}"/>
    <cellStyle name="Normal 14" xfId="86" xr:uid="{00000000-0005-0000-0000-00003F000000}"/>
    <cellStyle name="Normal 15" xfId="100" xr:uid="{00000000-0005-0000-0000-000040000000}"/>
    <cellStyle name="Normal 16" xfId="125" xr:uid="{00000000-0005-0000-0000-000041000000}"/>
    <cellStyle name="Normal 17" xfId="98" xr:uid="{00000000-0005-0000-0000-000042000000}"/>
    <cellStyle name="Normal 18" xfId="118" xr:uid="{00000000-0005-0000-0000-000043000000}"/>
    <cellStyle name="Normal 18 2" xfId="137" xr:uid="{00000000-0005-0000-0000-000044000000}"/>
    <cellStyle name="Normal 19" xfId="120" xr:uid="{00000000-0005-0000-0000-000045000000}"/>
    <cellStyle name="Normal 19 2" xfId="139" xr:uid="{00000000-0005-0000-0000-000046000000}"/>
    <cellStyle name="Normal 2" xfId="79" xr:uid="{00000000-0005-0000-0000-000047000000}"/>
    <cellStyle name="Normal 2 10" xfId="71" xr:uid="{00000000-0005-0000-0000-000048000000}"/>
    <cellStyle name="Normal 2 2" xfId="1" xr:uid="{00000000-0005-0000-0000-000049000000}"/>
    <cellStyle name="Normal 2 2 2" xfId="112" xr:uid="{00000000-0005-0000-0000-00004A000000}"/>
    <cellStyle name="Normal 2 3" xfId="114" xr:uid="{00000000-0005-0000-0000-00004B000000}"/>
    <cellStyle name="Normal 20" xfId="104" xr:uid="{00000000-0005-0000-0000-00004C000000}"/>
    <cellStyle name="Normal 21" xfId="89" xr:uid="{00000000-0005-0000-0000-00004D000000}"/>
    <cellStyle name="Normal 22" xfId="90" xr:uid="{00000000-0005-0000-0000-00004E000000}"/>
    <cellStyle name="Normal 23" xfId="124" xr:uid="{00000000-0005-0000-0000-00004F000000}"/>
    <cellStyle name="Normal 24" xfId="107" xr:uid="{00000000-0005-0000-0000-000050000000}"/>
    <cellStyle name="Normal 25" xfId="87" xr:uid="{00000000-0005-0000-0000-000051000000}"/>
    <cellStyle name="Normal 26" xfId="92" xr:uid="{00000000-0005-0000-0000-000052000000}"/>
    <cellStyle name="Normal 27" xfId="121" xr:uid="{00000000-0005-0000-0000-000053000000}"/>
    <cellStyle name="Normal 28" xfId="95" xr:uid="{00000000-0005-0000-0000-000054000000}"/>
    <cellStyle name="Normal 29" xfId="88" xr:uid="{00000000-0005-0000-0000-000055000000}"/>
    <cellStyle name="Normal 3" xfId="50" xr:uid="{00000000-0005-0000-0000-000056000000}"/>
    <cellStyle name="Normal 30" xfId="96" xr:uid="{00000000-0005-0000-0000-000057000000}"/>
    <cellStyle name="Normal 31" xfId="126" xr:uid="{00000000-0005-0000-0000-000058000000}"/>
    <cellStyle name="Normal 32" xfId="103" xr:uid="{00000000-0005-0000-0000-000059000000}"/>
    <cellStyle name="Normal 33" xfId="123" xr:uid="{00000000-0005-0000-0000-00005A000000}"/>
    <cellStyle name="Normal 34" xfId="93" xr:uid="{00000000-0005-0000-0000-00005B000000}"/>
    <cellStyle name="Normal 35" xfId="122" xr:uid="{00000000-0005-0000-0000-00005C000000}"/>
    <cellStyle name="Normal 36" xfId="91" xr:uid="{00000000-0005-0000-0000-00005D000000}"/>
    <cellStyle name="Normal 37" xfId="94" xr:uid="{00000000-0005-0000-0000-00005E000000}"/>
    <cellStyle name="Normal 38" xfId="97" xr:uid="{00000000-0005-0000-0000-00005F000000}"/>
    <cellStyle name="Normal 39" xfId="106" xr:uid="{00000000-0005-0000-0000-000060000000}"/>
    <cellStyle name="Normal 4" xfId="73" xr:uid="{00000000-0005-0000-0000-000061000000}"/>
    <cellStyle name="Normal 40" xfId="119" xr:uid="{00000000-0005-0000-0000-000062000000}"/>
    <cellStyle name="Normal 41" xfId="129" xr:uid="{00000000-0005-0000-0000-000063000000}"/>
    <cellStyle name="Normal 42" xfId="131" xr:uid="{00000000-0005-0000-0000-000064000000}"/>
    <cellStyle name="Normal 43" xfId="132" xr:uid="{00000000-0005-0000-0000-000065000000}"/>
    <cellStyle name="Normal 5" xfId="78" xr:uid="{00000000-0005-0000-0000-000066000000}"/>
    <cellStyle name="Normal 6" xfId="80" xr:uid="{00000000-0005-0000-0000-000067000000}"/>
    <cellStyle name="Normal 6 2" xfId="115" xr:uid="{00000000-0005-0000-0000-000068000000}"/>
    <cellStyle name="Normal 6 3" xfId="142" xr:uid="{00000000-0005-0000-0000-000069000000}"/>
    <cellStyle name="Normal 7" xfId="81" xr:uid="{00000000-0005-0000-0000-00006A000000}"/>
    <cellStyle name="Normal 7 2" xfId="116" xr:uid="{00000000-0005-0000-0000-00006B000000}"/>
    <cellStyle name="Normal 7 3" xfId="108" xr:uid="{00000000-0005-0000-0000-00006C000000}"/>
    <cellStyle name="Normal 8" xfId="2" xr:uid="{00000000-0005-0000-0000-00006D000000}"/>
    <cellStyle name="Normal 9" xfId="72" xr:uid="{00000000-0005-0000-0000-00006E000000}"/>
    <cellStyle name="Normal_Coupon Swap Pricer1" xfId="99" xr:uid="{00000000-0005-0000-0000-00006F000000}"/>
    <cellStyle name="NOTAS - Style3" xfId="51" xr:uid="{00000000-0005-0000-0000-000070000000}"/>
    <cellStyle name="Œ…‹æØ‚è [0.00]_!!!GO" xfId="52" xr:uid="{00000000-0005-0000-0000-000071000000}"/>
    <cellStyle name="Œ…‹æØ‚è_!!!GO" xfId="53" xr:uid="{00000000-0005-0000-0000-000072000000}"/>
    <cellStyle name="per.style" xfId="54" xr:uid="{00000000-0005-0000-0000-000073000000}"/>
    <cellStyle name="Percent" xfId="85" builtinId="5"/>
    <cellStyle name="Percent [2]" xfId="55" xr:uid="{00000000-0005-0000-0000-000074000000}"/>
    <cellStyle name="Porcentaje 2" xfId="82" xr:uid="{00000000-0005-0000-0000-000076000000}"/>
    <cellStyle name="Porcentaje 2 2" xfId="83" xr:uid="{00000000-0005-0000-0000-000077000000}"/>
    <cellStyle name="Porcentaje 3" xfId="56" xr:uid="{00000000-0005-0000-0000-000078000000}"/>
    <cellStyle name="Porcentaje 3 2" xfId="138" xr:uid="{00000000-0005-0000-0000-000079000000}"/>
    <cellStyle name="Porcentaje 4" xfId="117" xr:uid="{00000000-0005-0000-0000-00007A000000}"/>
    <cellStyle name="pricing" xfId="57" xr:uid="{00000000-0005-0000-0000-00007B000000}"/>
    <cellStyle name="producto" xfId="58" xr:uid="{00000000-0005-0000-0000-00007C000000}"/>
    <cellStyle name="PSChar" xfId="59" xr:uid="{00000000-0005-0000-0000-00007D000000}"/>
    <cellStyle name="RECUAD - Style4" xfId="60" xr:uid="{00000000-0005-0000-0000-00007E000000}"/>
    <cellStyle name="RevList" xfId="61" xr:uid="{00000000-0005-0000-0000-00007F000000}"/>
    <cellStyle name="RM" xfId="62" xr:uid="{00000000-0005-0000-0000-000080000000}"/>
    <cellStyle name="Subtotal" xfId="63" xr:uid="{00000000-0005-0000-0000-000081000000}"/>
    <cellStyle name="Table Heading" xfId="64" xr:uid="{00000000-0005-0000-0000-000082000000}"/>
    <cellStyle name="Table Title" xfId="65" xr:uid="{00000000-0005-0000-0000-000083000000}"/>
    <cellStyle name="Table Units" xfId="66" xr:uid="{00000000-0005-0000-0000-000084000000}"/>
    <cellStyle name="Table Units 2" xfId="77" xr:uid="{00000000-0005-0000-0000-000085000000}"/>
    <cellStyle name="Table Units 2 2" xfId="105" xr:uid="{00000000-0005-0000-0000-000086000000}"/>
    <cellStyle name="Table Units 2 3" xfId="130" xr:uid="{00000000-0005-0000-0000-000087000000}"/>
    <cellStyle name="Table Units 2 4" xfId="136" xr:uid="{00000000-0005-0000-0000-000088000000}"/>
    <cellStyle name="Table Units 3" xfId="101" xr:uid="{00000000-0005-0000-0000-000089000000}"/>
    <cellStyle name="Table Units 4" xfId="128" xr:uid="{00000000-0005-0000-0000-00008A000000}"/>
    <cellStyle name="Table Units 5" xfId="133" xr:uid="{00000000-0005-0000-0000-00008B000000}"/>
    <cellStyle name="TITULO - Style5" xfId="67" xr:uid="{00000000-0005-0000-0000-00008C000000}"/>
    <cellStyle name="Título 1 2" xfId="102" xr:uid="{00000000-0005-0000-0000-00008D000000}"/>
    <cellStyle name="Título 2 2" xfId="69" xr:uid="{00000000-0005-0000-0000-00008E000000}"/>
    <cellStyle name="Total 2" xfId="70" xr:uid="{00000000-0005-0000-0000-00008F000000}"/>
  </cellStyles>
  <dxfs count="5"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ED3237"/>
        </patternFill>
      </fill>
    </dxf>
    <dxf>
      <font>
        <color theme="0"/>
      </font>
      <fill>
        <patternFill>
          <bgColor rgb="FF0594B9"/>
        </patternFill>
      </fill>
    </dxf>
    <dxf>
      <font>
        <color theme="0"/>
      </font>
      <fill>
        <patternFill>
          <bgColor rgb="FF0594B9"/>
        </patternFill>
      </fill>
    </dxf>
    <dxf>
      <font>
        <color theme="0"/>
      </font>
      <fill>
        <patternFill>
          <bgColor rgb="FFED3237"/>
        </patternFill>
      </fill>
    </dxf>
  </dxfs>
  <tableStyles count="0" defaultTableStyle="TableStyleMedium2" defaultPivotStyle="PivotStyleLight16"/>
  <colors>
    <mruColors>
      <color rgb="FFB4DFEA"/>
      <color rgb="FFED3237"/>
      <color rgb="FFC9C9C9"/>
      <color rgb="FFFFFFCC"/>
      <color rgb="FF0594B9"/>
      <color rgb="FF1F1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Curva</a:t>
            </a:r>
            <a:r>
              <a:rPr lang="es-PE" baseline="0"/>
              <a:t> US Treasury (CMT)</a:t>
            </a:r>
            <a:endParaRPr lang="es-PE"/>
          </a:p>
        </c:rich>
      </c:tx>
      <c:layout>
        <c:manualLayout>
          <c:xMode val="edge"/>
          <c:yMode val="edge"/>
          <c:x val="0.29932100878694506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0199669485758712E-2"/>
          <c:y val="0.11960621535726565"/>
          <c:w val="0.83018664333624959"/>
          <c:h val="0.70639894823347771"/>
        </c:manualLayout>
      </c:layout>
      <c:barChart>
        <c:barDir val="col"/>
        <c:grouping val="clustered"/>
        <c:varyColors val="0"/>
        <c:ser>
          <c:idx val="1"/>
          <c:order val="1"/>
          <c:tx>
            <c:v>Cambio</c:v>
          </c:tx>
          <c:spPr>
            <a:solidFill>
              <a:srgbClr val="0594B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mercados!$C$33:$C$40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09-4C58-97B7-8821834ABC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0203936"/>
        <c:axId val="280203544"/>
      </c:barChart>
      <c:lineChart>
        <c:grouping val="standard"/>
        <c:varyColors val="0"/>
        <c:ser>
          <c:idx val="0"/>
          <c:order val="0"/>
          <c:tx>
            <c:v>Último</c:v>
          </c:tx>
          <c:spPr>
            <a:ln>
              <a:solidFill>
                <a:srgbClr val="ED3237"/>
              </a:solidFill>
            </a:ln>
          </c:spPr>
          <c:marker>
            <c:symbol val="none"/>
          </c:marker>
          <c:dLbls>
            <c:dLbl>
              <c:idx val="0"/>
              <c:spPr/>
              <c:txPr>
                <a:bodyPr/>
                <a:lstStyle/>
                <a:p>
                  <a:pPr>
                    <a:defRPr>
                      <a:solidFill>
                        <a:schemeClr val="tx1"/>
                      </a:solidFill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CE09-4C58-97B7-8821834ABCC3}"/>
                </c:ext>
              </c:extLst>
            </c:dLbl>
            <c:dLbl>
              <c:idx val="3"/>
              <c:spPr/>
              <c:txPr>
                <a:bodyPr/>
                <a:lstStyle/>
                <a:p>
                  <a:pPr>
                    <a:defRPr>
                      <a:solidFill>
                        <a:schemeClr val="tx1"/>
                      </a:solidFill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CE09-4C58-97B7-8821834ABCC3}"/>
                </c:ext>
              </c:extLst>
            </c:dLbl>
            <c:dLbl>
              <c:idx val="4"/>
              <c:spPr/>
              <c:txPr>
                <a:bodyPr/>
                <a:lstStyle/>
                <a:p>
                  <a:pPr>
                    <a:defRPr>
                      <a:solidFill>
                        <a:schemeClr val="tx1"/>
                      </a:solidFill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CE09-4C58-97B7-8821834ABCC3}"/>
                </c:ext>
              </c:extLst>
            </c:dLbl>
            <c:dLbl>
              <c:idx val="5"/>
              <c:spPr/>
              <c:txPr>
                <a:bodyPr/>
                <a:lstStyle/>
                <a:p>
                  <a:pPr>
                    <a:defRPr>
                      <a:solidFill>
                        <a:schemeClr val="tx1"/>
                      </a:solidFill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CE09-4C58-97B7-8821834ABC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mercados!$A$33:$A$40</c:f>
              <c:strCache>
                <c:ptCount val="8"/>
                <c:pt idx="0">
                  <c:v>USTN 1yr</c:v>
                </c:pt>
                <c:pt idx="1">
                  <c:v>USTN 2yr</c:v>
                </c:pt>
                <c:pt idx="2">
                  <c:v>USTN 3yr</c:v>
                </c:pt>
                <c:pt idx="3">
                  <c:v>USTN 5yr</c:v>
                </c:pt>
                <c:pt idx="4">
                  <c:v>USTN 7yr</c:v>
                </c:pt>
                <c:pt idx="5">
                  <c:v>USTN 10yr</c:v>
                </c:pt>
                <c:pt idx="6">
                  <c:v>USTN 20yr</c:v>
                </c:pt>
                <c:pt idx="7">
                  <c:v>USTN 30yr</c:v>
                </c:pt>
              </c:strCache>
            </c:strRef>
          </c:cat>
          <c:val>
            <c:numRef>
              <c:f>mercados!$B$33:$B$40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09-4C58-97B7-8821834ABC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0202760"/>
        <c:axId val="280203152"/>
      </c:lineChart>
      <c:catAx>
        <c:axId val="2802027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80203152"/>
        <c:crosses val="autoZero"/>
        <c:auto val="1"/>
        <c:lblAlgn val="ctr"/>
        <c:lblOffset val="100"/>
        <c:noMultiLvlLbl val="0"/>
      </c:catAx>
      <c:valAx>
        <c:axId val="2802031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80202760"/>
        <c:crosses val="autoZero"/>
        <c:crossBetween val="between"/>
      </c:valAx>
      <c:valAx>
        <c:axId val="28020354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280203936"/>
        <c:crosses val="max"/>
        <c:crossBetween val="between"/>
      </c:valAx>
      <c:catAx>
        <c:axId val="280203936"/>
        <c:scaling>
          <c:orientation val="minMax"/>
        </c:scaling>
        <c:delete val="1"/>
        <c:axPos val="b"/>
        <c:majorTickMark val="out"/>
        <c:minorTickMark val="none"/>
        <c:tickLblPos val="nextTo"/>
        <c:crossAx val="280203544"/>
        <c:crosses val="autoZero"/>
        <c:auto val="1"/>
        <c:lblAlgn val="ctr"/>
        <c:lblOffset val="100"/>
        <c:noMultiLvlLbl val="0"/>
      </c:catAx>
    </c:plotArea>
    <c:legend>
      <c:legendPos val="b"/>
      <c:layout>
        <c:manualLayout>
          <c:xMode val="edge"/>
          <c:yMode val="edge"/>
          <c:x val="0.36763323062878012"/>
          <c:y val="0.93189111855772988"/>
          <c:w val="0.26473353874243982"/>
          <c:h val="6.8108881442270133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793729550929415E-2"/>
          <c:y val="2.8252405949256341E-2"/>
          <c:w val="0.91120627044907054"/>
          <c:h val="0.84153178769320502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bs_flujo!$F$17:$AP$17</c:f>
              <c:numCache>
                <c:formatCode>0000</c:formatCode>
                <c:ptCount val="3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</c:numCache>
            </c:numRef>
          </c:cat>
          <c:val>
            <c:numRef>
              <c:f>bs_flujo!$F$18:$AP$18</c:f>
              <c:numCache>
                <c:formatCode>0,000</c:formatCode>
                <c:ptCount val="37"/>
                <c:pt idx="0">
                  <c:v>3401655887.2530003</c:v>
                </c:pt>
                <c:pt idx="1">
                  <c:v>8376903774.5060005</c:v>
                </c:pt>
                <c:pt idx="2">
                  <c:v>6679942161.7060003</c:v>
                </c:pt>
                <c:pt idx="3">
                  <c:v>6679942161.7060003</c:v>
                </c:pt>
                <c:pt idx="4">
                  <c:v>12566446161.706001</c:v>
                </c:pt>
                <c:pt idx="5">
                  <c:v>17652191953.706001</c:v>
                </c:pt>
                <c:pt idx="6">
                  <c:v>5730978117.7060003</c:v>
                </c:pt>
                <c:pt idx="7">
                  <c:v>18246318117.706001</c:v>
                </c:pt>
                <c:pt idx="8">
                  <c:v>4704720237.7060003</c:v>
                </c:pt>
                <c:pt idx="9">
                  <c:v>19175880237.706001</c:v>
                </c:pt>
                <c:pt idx="10">
                  <c:v>15613965157.706001</c:v>
                </c:pt>
                <c:pt idx="11">
                  <c:v>3061600737.7059999</c:v>
                </c:pt>
                <c:pt idx="12">
                  <c:v>17353844737.706001</c:v>
                </c:pt>
                <c:pt idx="13">
                  <c:v>15181496779.706001</c:v>
                </c:pt>
                <c:pt idx="14">
                  <c:v>1261827549.2060001</c:v>
                </c:pt>
                <c:pt idx="15">
                  <c:v>1261827549.2060001</c:v>
                </c:pt>
                <c:pt idx="16">
                  <c:v>1261827549.2060001</c:v>
                </c:pt>
                <c:pt idx="17">
                  <c:v>1261827549.2060001</c:v>
                </c:pt>
                <c:pt idx="18">
                  <c:v>12927241549.206001</c:v>
                </c:pt>
                <c:pt idx="19">
                  <c:v>456913983.20599997</c:v>
                </c:pt>
                <c:pt idx="20">
                  <c:v>456913983.20599997</c:v>
                </c:pt>
                <c:pt idx="21">
                  <c:v>456913983.20599997</c:v>
                </c:pt>
                <c:pt idx="22">
                  <c:v>456913983.20599997</c:v>
                </c:pt>
                <c:pt idx="23">
                  <c:v>4748198032.9559994</c:v>
                </c:pt>
                <c:pt idx="24">
                  <c:v>152536082.706</c:v>
                </c:pt>
                <c:pt idx="25">
                  <c:v>152536082.706</c:v>
                </c:pt>
                <c:pt idx="26">
                  <c:v>152536082.706</c:v>
                </c:pt>
                <c:pt idx="27">
                  <c:v>152536082.706</c:v>
                </c:pt>
                <c:pt idx="28">
                  <c:v>152536082.706</c:v>
                </c:pt>
                <c:pt idx="29">
                  <c:v>152536082.706</c:v>
                </c:pt>
                <c:pt idx="30">
                  <c:v>152536082.706</c:v>
                </c:pt>
                <c:pt idx="31">
                  <c:v>152536082.706</c:v>
                </c:pt>
                <c:pt idx="32">
                  <c:v>152536082.706</c:v>
                </c:pt>
                <c:pt idx="33">
                  <c:v>152536082.706</c:v>
                </c:pt>
                <c:pt idx="34">
                  <c:v>152536082.706</c:v>
                </c:pt>
                <c:pt idx="35">
                  <c:v>152536082.706</c:v>
                </c:pt>
                <c:pt idx="36">
                  <c:v>2348111041.3530002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D1-4F20-92CA-C6E9F53CE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408640"/>
        <c:axId val="282409032"/>
      </c:barChart>
      <c:catAx>
        <c:axId val="282408640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82409032"/>
        <c:crosses val="autoZero"/>
        <c:auto val="1"/>
        <c:lblAlgn val="ctr"/>
        <c:lblOffset val="100"/>
        <c:noMultiLvlLbl val="0"/>
      </c:catAx>
      <c:valAx>
        <c:axId val="282409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82408640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3.0441400304414001E-3"/>
                <c:y val="0.40325240594925632"/>
              </c:manualLayout>
            </c:layout>
          </c:dispUnitsLbl>
        </c:dispUnits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32" fmlaLink="start_back!$A$1" fmlaRange="start_back!$B$2:$B$6" noThreeD="1" sel="5" val="0"/>
</file>

<file path=xl/ctrlProps/ctrlProp4.xml><?xml version="1.0" encoding="utf-8"?>
<formControlPr xmlns="http://schemas.microsoft.com/office/spreadsheetml/2009/9/main" objectType="Drop" dropStyle="combo" dx="32" fmlaLink="start_back!$A$8" fmlaRange="start_back!$B$9:$B$10" noThreeD="1" sel="1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2" fmlaLink="start_back!$A$1" fmlaRange="start_back!$B$2:$B$6" noThreeD="1" sel="5" val="0"/>
</file>

<file path=xl/ctrlProps/ctrlProp8.xml><?xml version="1.0" encoding="utf-8"?>
<formControlPr xmlns="http://schemas.microsoft.com/office/spreadsheetml/2009/9/main" objectType="Drop" dropStyle="combo" dx="32" fmlaLink="start_back!$A$8" fmlaRange="start_back!$B$9:$B$10" noThreeD="1" sel="1" val="0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657225</xdr:colOff>
      <xdr:row>0</xdr:row>
      <xdr:rowOff>104775</xdr:rowOff>
    </xdr:from>
    <xdr:to>
      <xdr:col>5</xdr:col>
      <xdr:colOff>314643</xdr:colOff>
      <xdr:row>3</xdr:row>
      <xdr:rowOff>104774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5825" y="104775"/>
          <a:ext cx="2705418" cy="5714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476249</xdr:colOff>
      <xdr:row>0</xdr:row>
      <xdr:rowOff>95250</xdr:rowOff>
    </xdr:from>
    <xdr:to>
      <xdr:col>11</xdr:col>
      <xdr:colOff>628209</xdr:colOff>
      <xdr:row>5</xdr:row>
      <xdr:rowOff>96750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4776106" y="95250"/>
          <a:ext cx="4206889" cy="926786"/>
          <a:chOff x="3809999" y="95249"/>
          <a:chExt cx="3961960" cy="954000"/>
        </a:xfrm>
      </xdr:grpSpPr>
      <xdr:cxnSp macro="">
        <xdr:nvCxnSpPr>
          <xdr:cNvPr id="4" name="Conector recto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CxnSpPr/>
        </xdr:nvCxnSpPr>
        <xdr:spPr>
          <a:xfrm>
            <a:off x="3809999" y="95249"/>
            <a:ext cx="0" cy="954000"/>
          </a:xfrm>
          <a:prstGeom prst="line">
            <a:avLst/>
          </a:prstGeom>
          <a:ln w="50800">
            <a:solidFill>
              <a:srgbClr val="ED3237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CuadroTexto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3838575" y="123825"/>
            <a:ext cx="3933384" cy="9161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PE" sz="1400" b="0">
                <a:solidFill>
                  <a:srgbClr val="1F1D1E"/>
                </a:solidFill>
                <a:latin typeface="Arial Narrow" panose="020B0606020202030204" pitchFamily="34" charset="0"/>
                <a:cs typeface="Aparajita" panose="020B0604020202020204" pitchFamily="34" charset="0"/>
              </a:rPr>
              <a:t>MINISTERIO</a:t>
            </a:r>
            <a:r>
              <a:rPr lang="es-PE" sz="1400" b="0" baseline="0">
                <a:solidFill>
                  <a:srgbClr val="1F1D1E"/>
                </a:solidFill>
                <a:latin typeface="Arial Narrow" panose="020B0606020202030204" pitchFamily="34" charset="0"/>
                <a:cs typeface="Aparajita" panose="020B0604020202020204" pitchFamily="34" charset="0"/>
              </a:rPr>
              <a:t> DE ECONOMÍA Y FINANZAS</a:t>
            </a:r>
          </a:p>
          <a:p>
            <a:r>
              <a:rPr lang="es-PE" sz="1400" b="0" baseline="0">
                <a:solidFill>
                  <a:srgbClr val="1F1D1E"/>
                </a:solidFill>
                <a:latin typeface="Arial Narrow" panose="020B0606020202030204" pitchFamily="34" charset="0"/>
                <a:cs typeface="Aparajita" panose="020B0604020202020204" pitchFamily="34" charset="0"/>
              </a:rPr>
              <a:t>Dirección General de Endeudamiento y Tesoro Público</a:t>
            </a:r>
          </a:p>
          <a:p>
            <a:r>
              <a:rPr lang="es-PE" sz="1400" b="0" baseline="0">
                <a:solidFill>
                  <a:srgbClr val="1F1D1E"/>
                </a:solidFill>
                <a:latin typeface="Arial Narrow" panose="020B0606020202030204" pitchFamily="34" charset="0"/>
                <a:cs typeface="Aparajita" panose="020B0604020202020204" pitchFamily="34" charset="0"/>
              </a:rPr>
              <a:t>Dirección de Análisis y Estrategia</a:t>
            </a:r>
          </a:p>
          <a:p>
            <a:r>
              <a:rPr lang="es-PE" sz="1400" b="0" baseline="0">
                <a:solidFill>
                  <a:srgbClr val="1F1D1E"/>
                </a:solidFill>
                <a:latin typeface="Arial Narrow" panose="020B0606020202030204" pitchFamily="34" charset="0"/>
                <a:cs typeface="Aparajita" panose="020B0604020202020204" pitchFamily="34" charset="0"/>
              </a:rPr>
              <a:t>Simulación de operaciones de endeudamiento con bonos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544286</xdr:colOff>
          <xdr:row>20</xdr:row>
          <xdr:rowOff>163286</xdr:rowOff>
        </xdr:from>
        <xdr:to>
          <xdr:col>9</xdr:col>
          <xdr:colOff>141514</xdr:colOff>
          <xdr:row>22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Mantenimiento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201386</xdr:colOff>
          <xdr:row>20</xdr:row>
          <xdr:rowOff>163286</xdr:rowOff>
        </xdr:from>
        <xdr:to>
          <xdr:col>10</xdr:col>
          <xdr:colOff>560614</xdr:colOff>
          <xdr:row>22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Pantalla completa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438150</xdr:colOff>
      <xdr:row>7</xdr:row>
      <xdr:rowOff>123825</xdr:rowOff>
    </xdr:from>
    <xdr:ext cx="1559658" cy="298287"/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5238750" y="1457325"/>
          <a:ext cx="1559658" cy="2982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PE" sz="1400">
              <a:latin typeface="Arial Narrow" panose="020B0606020202030204" pitchFamily="34" charset="0"/>
            </a:rPr>
            <a:t>¿Qué deseas hacer?</a:t>
          </a:r>
        </a:p>
      </xdr:txBody>
    </xdr:sp>
    <xdr:clientData/>
  </xdr:oneCellAnchor>
  <xdr:oneCellAnchor>
    <xdr:from>
      <xdr:col>7</xdr:col>
      <xdr:colOff>438150</xdr:colOff>
      <xdr:row>14</xdr:row>
      <xdr:rowOff>0</xdr:rowOff>
    </xdr:from>
    <xdr:ext cx="1837747" cy="298287"/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5238750" y="2667000"/>
          <a:ext cx="1837747" cy="2982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PE" sz="1400">
              <a:latin typeface="Arial Narrow" panose="020B0606020202030204" pitchFamily="34" charset="0"/>
            </a:rPr>
            <a:t>Simulaciones disponibles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9</xdr:row>
          <xdr:rowOff>125186</xdr:rowOff>
        </xdr:from>
        <xdr:to>
          <xdr:col>10</xdr:col>
          <xdr:colOff>560614</xdr:colOff>
          <xdr:row>10</xdr:row>
          <xdr:rowOff>114300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16</xdr:row>
          <xdr:rowOff>0</xdr:rowOff>
        </xdr:from>
        <xdr:to>
          <xdr:col>10</xdr:col>
          <xdr:colOff>560614</xdr:colOff>
          <xdr:row>16</xdr:row>
          <xdr:rowOff>190500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370114</xdr:colOff>
          <xdr:row>11</xdr:row>
          <xdr:rowOff>76200</xdr:rowOff>
        </xdr:from>
        <xdr:to>
          <xdr:col>9</xdr:col>
          <xdr:colOff>723900</xdr:colOff>
          <xdr:row>12</xdr:row>
          <xdr:rowOff>141514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370114</xdr:colOff>
          <xdr:row>17</xdr:row>
          <xdr:rowOff>152400</xdr:rowOff>
        </xdr:from>
        <xdr:to>
          <xdr:col>9</xdr:col>
          <xdr:colOff>723900</xdr:colOff>
          <xdr:row>19</xdr:row>
          <xdr:rowOff>10886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657225</xdr:colOff>
      <xdr:row>0</xdr:row>
      <xdr:rowOff>104775</xdr:rowOff>
    </xdr:from>
    <xdr:to>
      <xdr:col>5</xdr:col>
      <xdr:colOff>314643</xdr:colOff>
      <xdr:row>3</xdr:row>
      <xdr:rowOff>104774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5825" y="104775"/>
          <a:ext cx="2705418" cy="5714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476249</xdr:colOff>
      <xdr:row>0</xdr:row>
      <xdr:rowOff>95250</xdr:rowOff>
    </xdr:from>
    <xdr:to>
      <xdr:col>11</xdr:col>
      <xdr:colOff>628209</xdr:colOff>
      <xdr:row>5</xdr:row>
      <xdr:rowOff>96750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4776106" y="95250"/>
          <a:ext cx="4206889" cy="926786"/>
          <a:chOff x="3809999" y="95249"/>
          <a:chExt cx="3961960" cy="954000"/>
        </a:xfrm>
      </xdr:grpSpPr>
      <xdr:cxnSp macro="">
        <xdr:nvCxnSpPr>
          <xdr:cNvPr id="4" name="Conector recto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3809999" y="95249"/>
            <a:ext cx="0" cy="954000"/>
          </a:xfrm>
          <a:prstGeom prst="line">
            <a:avLst/>
          </a:prstGeom>
          <a:ln w="50800">
            <a:solidFill>
              <a:srgbClr val="ED3237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CuadroTexto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3838575" y="123825"/>
            <a:ext cx="3933384" cy="9161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PE" sz="1400" b="0">
                <a:solidFill>
                  <a:srgbClr val="1F1D1E"/>
                </a:solidFill>
                <a:latin typeface="Arial Narrow" panose="020B0606020202030204" pitchFamily="34" charset="0"/>
                <a:cs typeface="Aparajita" panose="020B0604020202020204" pitchFamily="34" charset="0"/>
              </a:rPr>
              <a:t>MINISTERIO</a:t>
            </a:r>
            <a:r>
              <a:rPr lang="es-PE" sz="1400" b="0" baseline="0">
                <a:solidFill>
                  <a:srgbClr val="1F1D1E"/>
                </a:solidFill>
                <a:latin typeface="Arial Narrow" panose="020B0606020202030204" pitchFamily="34" charset="0"/>
                <a:cs typeface="Aparajita" panose="020B0604020202020204" pitchFamily="34" charset="0"/>
              </a:rPr>
              <a:t> DE ECONOMÍA Y FINANZAS</a:t>
            </a:r>
          </a:p>
          <a:p>
            <a:r>
              <a:rPr lang="es-PE" sz="1400" b="0" baseline="0">
                <a:solidFill>
                  <a:srgbClr val="1F1D1E"/>
                </a:solidFill>
                <a:latin typeface="Arial Narrow" panose="020B0606020202030204" pitchFamily="34" charset="0"/>
                <a:cs typeface="Aparajita" panose="020B0604020202020204" pitchFamily="34" charset="0"/>
              </a:rPr>
              <a:t>Dirección General de Endeudamiento y Tesoro Público</a:t>
            </a:r>
          </a:p>
          <a:p>
            <a:r>
              <a:rPr lang="es-PE" sz="1400" b="0" baseline="0">
                <a:solidFill>
                  <a:srgbClr val="1F1D1E"/>
                </a:solidFill>
                <a:latin typeface="Arial Narrow" panose="020B0606020202030204" pitchFamily="34" charset="0"/>
                <a:cs typeface="Aparajita" panose="020B0604020202020204" pitchFamily="34" charset="0"/>
              </a:rPr>
              <a:t>Dirección de Análisis y Estrategia</a:t>
            </a:r>
          </a:p>
          <a:p>
            <a:r>
              <a:rPr lang="es-PE" sz="1400" b="0" baseline="0">
                <a:solidFill>
                  <a:srgbClr val="1F1D1E"/>
                </a:solidFill>
                <a:latin typeface="Arial Narrow" panose="020B0606020202030204" pitchFamily="34" charset="0"/>
                <a:cs typeface="Aparajita" panose="020B0604020202020204" pitchFamily="34" charset="0"/>
              </a:rPr>
              <a:t>Simulación de operaciones de endeudamiento con bonos</a:t>
            </a:r>
          </a:p>
        </xdr:txBody>
      </xdr:sp>
    </xdr:grpSp>
    <xdr:clientData/>
  </xdr:twoCellAnchor>
  <xdr:oneCellAnchor>
    <xdr:from>
      <xdr:col>7</xdr:col>
      <xdr:colOff>438150</xdr:colOff>
      <xdr:row>7</xdr:row>
      <xdr:rowOff>123825</xdr:rowOff>
    </xdr:from>
    <xdr:ext cx="1559658" cy="298287"/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5238750" y="1457325"/>
          <a:ext cx="1559658" cy="2982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PE" sz="1400">
              <a:latin typeface="Arial Narrow" panose="020B0606020202030204" pitchFamily="34" charset="0"/>
            </a:rPr>
            <a:t>¿Qué deseas hacer?</a:t>
          </a:r>
        </a:p>
      </xdr:txBody>
    </xdr:sp>
    <xdr:clientData/>
  </xdr:oneCellAnchor>
  <xdr:oneCellAnchor>
    <xdr:from>
      <xdr:col>7</xdr:col>
      <xdr:colOff>438150</xdr:colOff>
      <xdr:row>14</xdr:row>
      <xdr:rowOff>0</xdr:rowOff>
    </xdr:from>
    <xdr:ext cx="1837747" cy="298287"/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238750" y="2667000"/>
          <a:ext cx="1837747" cy="2982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PE" sz="1400">
              <a:latin typeface="Arial Narrow" panose="020B0606020202030204" pitchFamily="34" charset="0"/>
            </a:rPr>
            <a:t>Simulaciones disponibles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9</xdr:row>
          <xdr:rowOff>125186</xdr:rowOff>
        </xdr:from>
        <xdr:to>
          <xdr:col>10</xdr:col>
          <xdr:colOff>560614</xdr:colOff>
          <xdr:row>10</xdr:row>
          <xdr:rowOff>114300</xdr:rowOff>
        </xdr:to>
        <xdr:sp macro="" textlink="">
          <xdr:nvSpPr>
            <xdr:cNvPr id="32771" name="Drop Dow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2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16</xdr:row>
          <xdr:rowOff>0</xdr:rowOff>
        </xdr:from>
        <xdr:to>
          <xdr:col>10</xdr:col>
          <xdr:colOff>560614</xdr:colOff>
          <xdr:row>16</xdr:row>
          <xdr:rowOff>190500</xdr:rowOff>
        </xdr:to>
        <xdr:sp macro="" textlink="">
          <xdr:nvSpPr>
            <xdr:cNvPr id="32772" name="Drop Dow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2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370114</xdr:colOff>
          <xdr:row>11</xdr:row>
          <xdr:rowOff>76200</xdr:rowOff>
        </xdr:from>
        <xdr:to>
          <xdr:col>9</xdr:col>
          <xdr:colOff>723900</xdr:colOff>
          <xdr:row>12</xdr:row>
          <xdr:rowOff>141514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2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370114</xdr:colOff>
          <xdr:row>17</xdr:row>
          <xdr:rowOff>152400</xdr:rowOff>
        </xdr:from>
        <xdr:to>
          <xdr:col>9</xdr:col>
          <xdr:colOff>723900</xdr:colOff>
          <xdr:row>19</xdr:row>
          <xdr:rowOff>10886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2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286800</xdr:colOff>
      <xdr:row>2</xdr:row>
      <xdr:rowOff>1518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810800" cy="3825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352425</xdr:colOff>
      <xdr:row>2</xdr:row>
      <xdr:rowOff>1296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809750" cy="3822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0</xdr:col>
      <xdr:colOff>1809750</xdr:colOff>
      <xdr:row>2</xdr:row>
      <xdr:rowOff>1297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1809750" cy="3822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238125</xdr:colOff>
      <xdr:row>5</xdr:row>
      <xdr:rowOff>85724</xdr:rowOff>
    </xdr:from>
    <xdr:to>
      <xdr:col>13</xdr:col>
      <xdr:colOff>590550</xdr:colOff>
      <xdr:row>21</xdr:row>
      <xdr:rowOff>85726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353786</xdr:colOff>
          <xdr:row>0</xdr:row>
          <xdr:rowOff>103414</xdr:rowOff>
        </xdr:from>
        <xdr:to>
          <xdr:col>6</xdr:col>
          <xdr:colOff>1475014</xdr:colOff>
          <xdr:row>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103414</xdr:rowOff>
        </xdr:from>
        <xdr:to>
          <xdr:col>9</xdr:col>
          <xdr:colOff>103414</xdr:colOff>
          <xdr:row>1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Restablecer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485042</xdr:colOff>
      <xdr:row>2</xdr:row>
      <xdr:rowOff>1296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809750" cy="3822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262466</xdr:colOff>
      <xdr:row>2</xdr:row>
      <xdr:rowOff>1296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805516" cy="3822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277586</xdr:colOff>
          <xdr:row>16</xdr:row>
          <xdr:rowOff>190500</xdr:rowOff>
        </xdr:from>
        <xdr:to>
          <xdr:col>1</xdr:col>
          <xdr:colOff>647700</xdr:colOff>
          <xdr:row>18</xdr:row>
          <xdr:rowOff>48986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Nuevos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277586</xdr:colOff>
          <xdr:row>18</xdr:row>
          <xdr:rowOff>76200</xdr:rowOff>
        </xdr:from>
        <xdr:to>
          <xdr:col>1</xdr:col>
          <xdr:colOff>647700</xdr:colOff>
          <xdr:row>19</xdr:row>
          <xdr:rowOff>141514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7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277586</xdr:colOff>
          <xdr:row>19</xdr:row>
          <xdr:rowOff>179614</xdr:rowOff>
        </xdr:from>
        <xdr:to>
          <xdr:col>1</xdr:col>
          <xdr:colOff>647700</xdr:colOff>
          <xdr:row>21</xdr:row>
          <xdr:rowOff>38100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Cálculo del cupón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277586</xdr:colOff>
          <xdr:row>21</xdr:row>
          <xdr:rowOff>87086</xdr:rowOff>
        </xdr:from>
        <xdr:to>
          <xdr:col>1</xdr:col>
          <xdr:colOff>647700</xdr:colOff>
          <xdr:row>22</xdr:row>
          <xdr:rowOff>152400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277586</xdr:colOff>
          <xdr:row>22</xdr:row>
          <xdr:rowOff>190500</xdr:rowOff>
        </xdr:from>
        <xdr:to>
          <xdr:col>1</xdr:col>
          <xdr:colOff>647700</xdr:colOff>
          <xdr:row>24</xdr:row>
          <xdr:rowOff>48986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7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flujo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6</xdr:row>
          <xdr:rowOff>152400</xdr:rowOff>
        </xdr:from>
        <xdr:to>
          <xdr:col>1</xdr:col>
          <xdr:colOff>636814</xdr:colOff>
          <xdr:row>8</xdr:row>
          <xdr:rowOff>10886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9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Restablecer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125186</xdr:rowOff>
        </xdr:from>
        <xdr:to>
          <xdr:col>7</xdr:col>
          <xdr:colOff>1191986</xdr:colOff>
          <xdr:row>2</xdr:row>
          <xdr:rowOff>190500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A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Restablecer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125186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Obtener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446314</xdr:colOff>
          <xdr:row>2</xdr:row>
          <xdr:rowOff>38100</xdr:rowOff>
        </xdr:from>
        <xdr:to>
          <xdr:col>13</xdr:col>
          <xdr:colOff>0</xdr:colOff>
          <xdr:row>3</xdr:row>
          <xdr:rowOff>103414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Obtener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762000</xdr:colOff>
          <xdr:row>8</xdr:row>
          <xdr:rowOff>163286</xdr:rowOff>
        </xdr:from>
        <xdr:to>
          <xdr:col>15</xdr:col>
          <xdr:colOff>38100</xdr:colOff>
          <xdr:row>10</xdr:row>
          <xdr:rowOff>38100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C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Obtener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15</xdr:row>
          <xdr:rowOff>152400</xdr:rowOff>
        </xdr:from>
        <xdr:to>
          <xdr:col>3</xdr:col>
          <xdr:colOff>228600</xdr:colOff>
          <xdr:row>17</xdr:row>
          <xdr:rowOff>27214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19050</xdr:colOff>
      <xdr:row>19</xdr:row>
      <xdr:rowOff>109537</xdr:rowOff>
    </xdr:from>
    <xdr:to>
      <xdr:col>14</xdr:col>
      <xdr:colOff>790575</xdr:colOff>
      <xdr:row>33</xdr:row>
      <xdr:rowOff>185737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R9"/>
  <sheetViews>
    <sheetView showGridLines="0" showRowColHeaders="0" zoomScaleNormal="100" workbookViewId="0">
      <selection activeCell="I26" sqref="I26"/>
    </sheetView>
  </sheetViews>
  <sheetFormatPr defaultColWidth="11.4609375" defaultRowHeight="14.6"/>
  <cols>
    <col min="1" max="1" width="3.4609375" style="1" customWidth="1"/>
    <col min="2" max="17" width="11.4609375" style="1"/>
    <col min="18" max="18" width="8.4609375" style="1" customWidth="1"/>
    <col min="19" max="16384" width="11.4609375" style="1"/>
  </cols>
  <sheetData>
    <row r="1" spans="1:18">
      <c r="A1" s="103"/>
      <c r="B1" s="103"/>
      <c r="C1" s="103"/>
      <c r="D1" s="103"/>
      <c r="E1" s="103"/>
      <c r="R1" s="2"/>
    </row>
    <row r="9" spans="1:18">
      <c r="F9" s="4"/>
    </row>
  </sheetData>
  <sheetProtection selectLockedCells="1" selectUn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_maintenance">
                <anchor moveWithCells="1" sizeWithCells="1">
                  <from>
                    <xdr:col>7</xdr:col>
                    <xdr:colOff>544286</xdr:colOff>
                    <xdr:row>20</xdr:row>
                    <xdr:rowOff>163286</xdr:rowOff>
                  </from>
                  <to>
                    <xdr:col>9</xdr:col>
                    <xdr:colOff>141514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ull_screen_start">
                <anchor moveWithCells="1" sizeWithCells="1">
                  <from>
                    <xdr:col>9</xdr:col>
                    <xdr:colOff>201386</xdr:colOff>
                    <xdr:row>20</xdr:row>
                    <xdr:rowOff>163286</xdr:rowOff>
                  </from>
                  <to>
                    <xdr:col>10</xdr:col>
                    <xdr:colOff>560614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Drop Down 7">
              <controlPr defaultSize="0" autoLine="0" autoPict="0">
                <anchor moveWithCells="1">
                  <from>
                    <xdr:col>7</xdr:col>
                    <xdr:colOff>533400</xdr:colOff>
                    <xdr:row>9</xdr:row>
                    <xdr:rowOff>125186</xdr:rowOff>
                  </from>
                  <to>
                    <xdr:col>10</xdr:col>
                    <xdr:colOff>560614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Drop Down 8">
              <controlPr defaultSize="0" autoLine="0" autoPict="0">
                <anchor moveWithCells="1">
                  <from>
                    <xdr:col>7</xdr:col>
                    <xdr:colOff>533400</xdr:colOff>
                    <xdr:row>16</xdr:row>
                    <xdr:rowOff>0</xdr:rowOff>
                  </from>
                  <to>
                    <xdr:col>10</xdr:col>
                    <xdr:colOff>560614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goto_options">
                <anchor moveWithCells="1" sizeWithCells="1">
                  <from>
                    <xdr:col>8</xdr:col>
                    <xdr:colOff>370114</xdr:colOff>
                    <xdr:row>11</xdr:row>
                    <xdr:rowOff>76200</xdr:rowOff>
                  </from>
                  <to>
                    <xdr:col>9</xdr:col>
                    <xdr:colOff>723900</xdr:colOff>
                    <xdr:row>12</xdr:row>
                    <xdr:rowOff>141514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goto_sims">
                <anchor moveWithCells="1" sizeWithCells="1">
                  <from>
                    <xdr:col>8</xdr:col>
                    <xdr:colOff>370114</xdr:colOff>
                    <xdr:row>17</xdr:row>
                    <xdr:rowOff>152400</xdr:rowOff>
                  </from>
                  <to>
                    <xdr:col>9</xdr:col>
                    <xdr:colOff>723900</xdr:colOff>
                    <xdr:row>19</xdr:row>
                    <xdr:rowOff>10886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10"/>
  <sheetViews>
    <sheetView workbookViewId="0">
      <selection activeCell="B8" sqref="B8"/>
    </sheetView>
  </sheetViews>
  <sheetFormatPr defaultColWidth="10.84375" defaultRowHeight="14.6"/>
  <cols>
    <col min="1" max="1" width="2" bestFit="1" customWidth="1"/>
    <col min="2" max="2" width="38.4609375" bestFit="1" customWidth="1"/>
    <col min="3" max="3" width="12.61328125" bestFit="1" customWidth="1"/>
    <col min="6" max="6" width="20.4609375" bestFit="1" customWidth="1"/>
  </cols>
  <sheetData>
    <row r="1" spans="1:3">
      <c r="A1">
        <v>5</v>
      </c>
      <c r="B1" t="str">
        <f ca="1">+OFFSET($A$1,MATCH($A$1,$A$2:$A$6,0),2)</f>
        <v>bd_bonos</v>
      </c>
    </row>
    <row r="2" spans="1:3">
      <c r="A2">
        <v>1</v>
      </c>
      <c r="B2" t="s">
        <v>0</v>
      </c>
      <c r="C2" t="s">
        <v>12</v>
      </c>
    </row>
    <row r="3" spans="1:3">
      <c r="A3">
        <v>2</v>
      </c>
      <c r="B3" t="s">
        <v>1</v>
      </c>
      <c r="C3" t="s">
        <v>13</v>
      </c>
    </row>
    <row r="4" spans="1:3">
      <c r="A4">
        <v>3</v>
      </c>
      <c r="B4" t="s">
        <v>9</v>
      </c>
      <c r="C4" t="s">
        <v>14</v>
      </c>
    </row>
    <row r="5" spans="1:3">
      <c r="A5">
        <v>4</v>
      </c>
      <c r="B5" t="s">
        <v>100</v>
      </c>
      <c r="C5" t="s">
        <v>99</v>
      </c>
    </row>
    <row r="6" spans="1:3">
      <c r="A6">
        <v>5</v>
      </c>
      <c r="B6" t="s">
        <v>2</v>
      </c>
      <c r="C6" t="s">
        <v>15</v>
      </c>
    </row>
    <row r="8" spans="1:3">
      <c r="A8">
        <v>1</v>
      </c>
      <c r="B8" t="str">
        <f ca="1">+OFFSET($A$8,MATCH($A$8,$A$9:$A$10,0),2)</f>
        <v>intercambio</v>
      </c>
    </row>
    <row r="9" spans="1:3">
      <c r="A9">
        <v>1</v>
      </c>
      <c r="B9" t="s">
        <v>10</v>
      </c>
      <c r="C9" t="s">
        <v>17</v>
      </c>
    </row>
    <row r="10" spans="1:3">
      <c r="A10">
        <v>2</v>
      </c>
      <c r="B10" t="s">
        <v>11</v>
      </c>
      <c r="C10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0"/>
  <dimension ref="A1:R9"/>
  <sheetViews>
    <sheetView showGridLines="0" showRowColHeaders="0" zoomScaleNormal="100" workbookViewId="0">
      <selection activeCell="F27" sqref="F27"/>
    </sheetView>
  </sheetViews>
  <sheetFormatPr defaultColWidth="11.4609375" defaultRowHeight="14.6"/>
  <cols>
    <col min="1" max="1" width="3.4609375" style="1" customWidth="1"/>
    <col min="2" max="17" width="11.4609375" style="1"/>
    <col min="18" max="18" width="8.4609375" style="1" customWidth="1"/>
    <col min="19" max="16384" width="11.4609375" style="1"/>
  </cols>
  <sheetData>
    <row r="1" spans="1:18">
      <c r="A1" s="103"/>
      <c r="B1" s="103"/>
      <c r="C1" s="103"/>
      <c r="D1" s="103"/>
      <c r="E1" s="103"/>
      <c r="R1" s="2"/>
    </row>
    <row r="9" spans="1:18">
      <c r="F9" s="4"/>
    </row>
  </sheetData>
  <sheetProtection selectLockedCells="1" selectUn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1" r:id="rId4" name="Drop Down 3">
              <controlPr defaultSize="0" autoLine="0" autoPict="0">
                <anchor moveWithCells="1">
                  <from>
                    <xdr:col>7</xdr:col>
                    <xdr:colOff>533400</xdr:colOff>
                    <xdr:row>9</xdr:row>
                    <xdr:rowOff>125186</xdr:rowOff>
                  </from>
                  <to>
                    <xdr:col>10</xdr:col>
                    <xdr:colOff>560614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5" name="Drop Down 4">
              <controlPr defaultSize="0" autoLine="0" autoPict="0">
                <anchor moveWithCells="1">
                  <from>
                    <xdr:col>7</xdr:col>
                    <xdr:colOff>533400</xdr:colOff>
                    <xdr:row>16</xdr:row>
                    <xdr:rowOff>0</xdr:rowOff>
                  </from>
                  <to>
                    <xdr:col>10</xdr:col>
                    <xdr:colOff>560614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6" name="Button 5">
              <controlPr defaultSize="0" print="0" autoFill="0" autoPict="0" macro="[0]!goto_options">
                <anchor moveWithCells="1" sizeWithCells="1">
                  <from>
                    <xdr:col>8</xdr:col>
                    <xdr:colOff>370114</xdr:colOff>
                    <xdr:row>11</xdr:row>
                    <xdr:rowOff>76200</xdr:rowOff>
                  </from>
                  <to>
                    <xdr:col>9</xdr:col>
                    <xdr:colOff>723900</xdr:colOff>
                    <xdr:row>12</xdr:row>
                    <xdr:rowOff>141514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7" name="Button 6">
              <controlPr defaultSize="0" print="0" autoFill="0" autoPict="0" macro="[0]!goto_sims">
                <anchor moveWithCells="1" sizeWithCells="1">
                  <from>
                    <xdr:col>8</xdr:col>
                    <xdr:colOff>370114</xdr:colOff>
                    <xdr:row>17</xdr:row>
                    <xdr:rowOff>152400</xdr:rowOff>
                  </from>
                  <to>
                    <xdr:col>9</xdr:col>
                    <xdr:colOff>723900</xdr:colOff>
                    <xdr:row>19</xdr:row>
                    <xdr:rowOff>10886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>
    <tabColor rgb="FFFFFF00"/>
  </sheetPr>
  <dimension ref="A1:H8"/>
  <sheetViews>
    <sheetView zoomScaleNormal="100" workbookViewId="0">
      <selection activeCell="E19" sqref="E19"/>
    </sheetView>
  </sheetViews>
  <sheetFormatPr defaultColWidth="11.4609375" defaultRowHeight="14.6"/>
  <cols>
    <col min="1" max="16384" width="11.4609375" style="1"/>
  </cols>
  <sheetData>
    <row r="1" spans="1:8">
      <c r="D1" s="315" t="s">
        <v>401</v>
      </c>
      <c r="E1" s="315"/>
      <c r="F1" s="315"/>
      <c r="G1" s="315"/>
      <c r="H1" s="315"/>
    </row>
    <row r="2" spans="1:8">
      <c r="D2" s="315"/>
      <c r="E2" s="315"/>
      <c r="F2" s="315"/>
      <c r="G2" s="315"/>
      <c r="H2" s="315"/>
    </row>
    <row r="3" spans="1:8" ht="18.45">
      <c r="D3" s="71"/>
      <c r="E3" s="71"/>
      <c r="F3" s="71"/>
      <c r="G3" s="71"/>
      <c r="H3" s="71"/>
    </row>
    <row r="4" spans="1:8">
      <c r="B4" s="1" t="s">
        <v>466</v>
      </c>
    </row>
    <row r="5" spans="1:8">
      <c r="A5" s="23"/>
      <c r="B5" s="1" t="s">
        <v>394</v>
      </c>
    </row>
    <row r="6" spans="1:8">
      <c r="A6" s="24"/>
      <c r="B6" s="1" t="s">
        <v>393</v>
      </c>
    </row>
    <row r="7" spans="1:8">
      <c r="A7" s="111"/>
      <c r="B7" s="1" t="s">
        <v>465</v>
      </c>
    </row>
    <row r="8" spans="1:8">
      <c r="A8" s="79"/>
      <c r="B8" s="1" t="s">
        <v>395</v>
      </c>
    </row>
  </sheetData>
  <mergeCells count="1">
    <mergeCell ref="D1:H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0594B9"/>
  </sheetPr>
  <dimension ref="A1:E7"/>
  <sheetViews>
    <sheetView workbookViewId="0">
      <selection activeCell="D11" sqref="D11"/>
    </sheetView>
  </sheetViews>
  <sheetFormatPr defaultColWidth="11.4609375" defaultRowHeight="14.6"/>
  <cols>
    <col min="1" max="1" width="11.15234375" style="1" bestFit="1" customWidth="1"/>
    <col min="2" max="2" width="10.61328125" style="1" bestFit="1" customWidth="1"/>
    <col min="3" max="3" width="5.4609375" style="1" customWidth="1"/>
    <col min="4" max="16384" width="11.4609375" style="1"/>
  </cols>
  <sheetData>
    <row r="1" spans="1:5" ht="15" customHeight="1">
      <c r="D1" s="316" t="s">
        <v>304</v>
      </c>
      <c r="E1" s="316"/>
    </row>
    <row r="2" spans="1:5" ht="15" customHeight="1">
      <c r="C2" s="21"/>
      <c r="D2" s="316"/>
      <c r="E2" s="316"/>
    </row>
    <row r="4" spans="1:5">
      <c r="A4" s="164" t="s">
        <v>399</v>
      </c>
      <c r="B4" s="165">
        <f ca="1">+TODAY()</f>
        <v>44587</v>
      </c>
      <c r="E4" s="1" t="s">
        <v>413</v>
      </c>
    </row>
    <row r="5" spans="1:5">
      <c r="A5" s="164" t="s">
        <v>397</v>
      </c>
      <c r="B5" s="166">
        <v>5</v>
      </c>
      <c r="E5" s="1" t="s">
        <v>414</v>
      </c>
    </row>
    <row r="6" spans="1:5">
      <c r="A6" s="25" t="s">
        <v>398</v>
      </c>
      <c r="B6" s="8">
        <f ca="1">+IF(OR($B$4="",$B$5=""),"",WORKDAY($B$4,$B$5))</f>
        <v>44594</v>
      </c>
      <c r="E6" s="1" t="s">
        <v>415</v>
      </c>
    </row>
    <row r="7" spans="1:5">
      <c r="E7" s="1" t="s">
        <v>416</v>
      </c>
    </row>
  </sheetData>
  <mergeCells count="1">
    <mergeCell ref="D1:E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tabColor rgb="FF0594B9"/>
  </sheetPr>
  <dimension ref="A1:N52"/>
  <sheetViews>
    <sheetView topLeftCell="A19" zoomScaleNormal="100" workbookViewId="0">
      <selection activeCell="B28" sqref="B28"/>
    </sheetView>
  </sheetViews>
  <sheetFormatPr defaultColWidth="11.4609375" defaultRowHeight="14.6"/>
  <cols>
    <col min="1" max="1" width="29.84375" style="1" bestFit="1" customWidth="1"/>
    <col min="2" max="2" width="9" style="1" bestFit="1" customWidth="1"/>
    <col min="3" max="3" width="8.61328125" style="1" bestFit="1" customWidth="1"/>
    <col min="4" max="4" width="10.4609375" style="1" bestFit="1" customWidth="1"/>
    <col min="5" max="5" width="6.3828125" style="1" bestFit="1" customWidth="1"/>
    <col min="6" max="6" width="11.4609375" style="1"/>
    <col min="7" max="7" width="25" style="1" bestFit="1" customWidth="1"/>
    <col min="8" max="8" width="8" style="5" bestFit="1" customWidth="1"/>
    <col min="9" max="9" width="7.3828125" style="5" bestFit="1" customWidth="1"/>
    <col min="10" max="10" width="10.4609375" style="5" bestFit="1" customWidth="1"/>
    <col min="11" max="11" width="5.4609375" style="5" bestFit="1" customWidth="1"/>
    <col min="12" max="12" width="11.4609375" style="1"/>
    <col min="13" max="13" width="13.15234375" style="1" bestFit="1" customWidth="1"/>
    <col min="14" max="16384" width="11.4609375" style="1"/>
  </cols>
  <sheetData>
    <row r="1" spans="1:14" ht="15" customHeight="1">
      <c r="A1" s="26"/>
      <c r="B1" s="317" t="s">
        <v>405</v>
      </c>
      <c r="C1" s="317"/>
      <c r="D1" s="317"/>
      <c r="E1" s="317"/>
      <c r="F1" s="317"/>
      <c r="G1" s="58"/>
      <c r="H1" s="58"/>
      <c r="I1" s="58"/>
      <c r="J1" s="40"/>
      <c r="K1" s="40"/>
      <c r="L1" s="27"/>
      <c r="M1" s="27"/>
      <c r="N1" s="28"/>
    </row>
    <row r="2" spans="1:14" ht="15" customHeight="1">
      <c r="A2" s="29"/>
      <c r="B2" s="318"/>
      <c r="C2" s="318"/>
      <c r="D2" s="318"/>
      <c r="E2" s="318"/>
      <c r="F2" s="318"/>
      <c r="G2" s="31"/>
      <c r="H2" s="31"/>
      <c r="I2" s="31"/>
      <c r="J2" s="33"/>
      <c r="K2" s="33"/>
      <c r="L2" s="30"/>
      <c r="M2" s="30"/>
      <c r="N2" s="32"/>
    </row>
    <row r="3" spans="1:14">
      <c r="A3" s="29"/>
      <c r="B3" s="30"/>
      <c r="C3" s="30"/>
      <c r="D3" s="30"/>
      <c r="E3" s="30"/>
      <c r="F3" s="30"/>
      <c r="G3" s="30"/>
      <c r="H3" s="33"/>
      <c r="I3" s="33"/>
      <c r="J3" s="33"/>
      <c r="K3" s="33"/>
      <c r="L3" s="30"/>
      <c r="M3" s="30"/>
      <c r="N3" s="32"/>
    </row>
    <row r="4" spans="1:14">
      <c r="A4" s="137" t="s">
        <v>18</v>
      </c>
      <c r="B4" s="72" t="s">
        <v>19</v>
      </c>
      <c r="C4" s="72" t="s">
        <v>20</v>
      </c>
      <c r="D4" s="72" t="s">
        <v>21</v>
      </c>
      <c r="E4" s="72" t="s">
        <v>22</v>
      </c>
      <c r="F4" s="30"/>
      <c r="G4" s="30"/>
      <c r="H4" s="33"/>
      <c r="I4" s="33"/>
      <c r="J4" s="33"/>
      <c r="K4" s="33"/>
      <c r="L4" s="30"/>
      <c r="M4" s="30"/>
      <c r="N4" s="32"/>
    </row>
    <row r="5" spans="1:14">
      <c r="A5" s="59" t="s">
        <v>23</v>
      </c>
      <c r="B5" s="48" t="e">
        <f ca="1">_xll.BDP(OFFSET(tickers_mkts!$A$1,MATCH(mercados!$A5,tickers_mkts!$A$1:$A$47,0)-1,1),OFFSET(tickers_mkts!$A$1,MATCH(mercados!$B$4,tickers_mkts!$A$1:$A$47,0)-1,1))</f>
        <v>#NAME?</v>
      </c>
      <c r="C5" s="61" t="e">
        <f ca="1">_xll.BDP(OFFSET(tickers_mkts!$A$1,MATCH(mercados!$A5,tickers_mkts!$A$1:$A$47,0)-1,1),OFFSET(tickers_mkts!$A$1,MATCH(mercados!$C$4,tickers_mkts!$A$1:$A$47,0)-1,1))</f>
        <v>#NAME?</v>
      </c>
      <c r="D5" s="61" t="e">
        <f ca="1">_xll.BDP(OFFSET(tickers_mkts!$A$1,MATCH(mercados!$A5,tickers_mkts!$A$1:$A$47,0)-1,1),OFFSET(tickers_mkts!$A$1,MATCH(mercados!$D$4,tickers_mkts!$A$1:$A$47,0)-1,1))</f>
        <v>#NAME?</v>
      </c>
      <c r="E5" s="61" t="e">
        <f ca="1">_xll.BDP(OFFSET(tickers_mkts!$A$1,MATCH(mercados!$A5,tickers_mkts!$A$1:$A$47,0)-1,1),OFFSET(tickers_mkts!$A$1,MATCH(mercados!$E$4,tickers_mkts!$A$1:$A$47,0)-1,1))</f>
        <v>#NAME?</v>
      </c>
      <c r="F5" s="30"/>
      <c r="G5" s="30"/>
      <c r="H5" s="33"/>
      <c r="I5" s="33"/>
      <c r="J5" s="33"/>
      <c r="K5" s="33"/>
      <c r="L5" s="30"/>
      <c r="M5" s="30"/>
      <c r="N5" s="32"/>
    </row>
    <row r="6" spans="1:14">
      <c r="A6" s="59" t="s">
        <v>24</v>
      </c>
      <c r="B6" s="48" t="e">
        <f ca="1">_xll.BDP(OFFSET(tickers_mkts!$A$1,MATCH(mercados!$A6,tickers_mkts!$A$1:$A$47,0)-1,1),OFFSET(tickers_mkts!$A$1,MATCH(mercados!$B$4,tickers_mkts!$A$1:$A$47,0)-1,1))</f>
        <v>#NAME?</v>
      </c>
      <c r="C6" s="61" t="e">
        <f ca="1">_xll.BDP(OFFSET(tickers_mkts!$A$1,MATCH(mercados!$A6,tickers_mkts!$A$1:$A$47,0)-1,1),OFFSET(tickers_mkts!$A$1,MATCH(mercados!$C$4,tickers_mkts!$A$1:$A$47,0)-1,1))</f>
        <v>#NAME?</v>
      </c>
      <c r="D6" s="61" t="e">
        <f ca="1">_xll.BDP(OFFSET(tickers_mkts!$A$1,MATCH(mercados!$A6,tickers_mkts!$A$1:$A$47,0)-1,1),OFFSET(tickers_mkts!$A$1,MATCH(mercados!$D$4,tickers_mkts!$A$1:$A$47,0)-1,1))</f>
        <v>#NAME?</v>
      </c>
      <c r="E6" s="61" t="e">
        <f ca="1">_xll.BDP(OFFSET(tickers_mkts!$A$1,MATCH(mercados!$A6,tickers_mkts!$A$1:$A$47,0)-1,1),OFFSET(tickers_mkts!$A$1,MATCH(mercados!$E$4,tickers_mkts!$A$1:$A$47,0)-1,1))</f>
        <v>#NAME?</v>
      </c>
      <c r="F6" s="30"/>
      <c r="G6" s="30"/>
      <c r="H6" s="33"/>
      <c r="I6" s="33"/>
      <c r="J6" s="33"/>
      <c r="K6" s="33"/>
      <c r="L6" s="30"/>
      <c r="M6" s="30"/>
      <c r="N6" s="32"/>
    </row>
    <row r="7" spans="1:14">
      <c r="A7" s="59" t="s">
        <v>26</v>
      </c>
      <c r="B7" s="48" t="e">
        <f ca="1">_xll.BDP(OFFSET(tickers_mkts!$A$1,MATCH(mercados!$A7,tickers_mkts!$A$1:$A$47,0)-1,1),OFFSET(tickers_mkts!$A$1,MATCH(mercados!$B$4,tickers_mkts!$A$1:$A$47,0)-1,1))</f>
        <v>#NAME?</v>
      </c>
      <c r="C7" s="60" t="e">
        <f ca="1">_xll.BDP(OFFSET(tickers_mkts!$A$1,MATCH(mercados!$A7,tickers_mkts!$A$1:$A$47,0)-1,1),OFFSET(tickers_mkts!$A$1,MATCH(mercados!$C$4,tickers_mkts!$A$1:$A$47,0)-1,1))</f>
        <v>#NAME?</v>
      </c>
      <c r="D7" s="60" t="e">
        <f ca="1">_xll.BDP(OFFSET(tickers_mkts!$A$1,MATCH(mercados!$A7,tickers_mkts!$A$1:$A$47,0)-1,1),OFFSET(tickers_mkts!$A$1,MATCH(mercados!$D$4,tickers_mkts!$A$1:$A$47,0)-1,1))</f>
        <v>#NAME?</v>
      </c>
      <c r="E7" s="61" t="e">
        <f ca="1">_xll.BDP(OFFSET(tickers_mkts!$A$1,MATCH(mercados!$A7,tickers_mkts!$A$1:$A$47,0)-1,1),OFFSET(tickers_mkts!$A$1,MATCH(mercados!$E$4,tickers_mkts!$A$1:$A$47,0)-1,1))</f>
        <v>#NAME?</v>
      </c>
      <c r="F7" s="30"/>
      <c r="G7" s="30"/>
      <c r="H7" s="33"/>
      <c r="I7" s="33"/>
      <c r="J7" s="33"/>
      <c r="K7" s="33"/>
      <c r="L7" s="30"/>
      <c r="M7" s="30"/>
      <c r="N7" s="32"/>
    </row>
    <row r="8" spans="1:14">
      <c r="A8" s="59" t="s">
        <v>27</v>
      </c>
      <c r="B8" s="48" t="e">
        <f ca="1">_xll.BDP(OFFSET(tickers_mkts!$A$1,MATCH(mercados!$A8,tickers_mkts!$A$1:$A$47,0)-1,1),OFFSET(tickers_mkts!$A$1,MATCH(mercados!$B$4,tickers_mkts!$A$1:$A$47,0)-1,1))</f>
        <v>#NAME?</v>
      </c>
      <c r="C8" s="61" t="e">
        <f ca="1">_xll.BDP(OFFSET(tickers_mkts!$A$1,MATCH(mercados!$A8,tickers_mkts!$A$1:$A$47,0)-1,1),OFFSET(tickers_mkts!$A$1,MATCH(mercados!$C$4,tickers_mkts!$A$1:$A$47,0)-1,1))</f>
        <v>#NAME?</v>
      </c>
      <c r="D8" s="61" t="e">
        <f ca="1">_xll.BDP(OFFSET(tickers_mkts!$A$1,MATCH(mercados!$A8,tickers_mkts!$A$1:$A$47,0)-1,1),OFFSET(tickers_mkts!$A$1,MATCH(mercados!$D$4,tickers_mkts!$A$1:$A$47,0)-1,1))</f>
        <v>#NAME?</v>
      </c>
      <c r="E8" s="61" t="e">
        <f ca="1">_xll.BDP(OFFSET(tickers_mkts!$A$1,MATCH(mercados!$A8,tickers_mkts!$A$1:$A$47,0)-1,1),OFFSET(tickers_mkts!$A$1,MATCH(mercados!$E$4,tickers_mkts!$A$1:$A$47,0)-1,1))</f>
        <v>#NAME?</v>
      </c>
      <c r="F8" s="30"/>
      <c r="G8" s="30"/>
      <c r="H8" s="33"/>
      <c r="I8" s="33"/>
      <c r="J8" s="33"/>
      <c r="K8" s="33"/>
      <c r="L8" s="30"/>
      <c r="M8" s="30"/>
      <c r="N8" s="32"/>
    </row>
    <row r="9" spans="1:14">
      <c r="A9" s="59" t="s">
        <v>28</v>
      </c>
      <c r="B9" s="48" t="e">
        <f ca="1">_xll.BDP(OFFSET(tickers_mkts!$A$1,MATCH(mercados!$A9,tickers_mkts!$A$1:$A$47,0)-1,1),OFFSET(tickers_mkts!$A$1,MATCH(mercados!$B$4,tickers_mkts!$A$1:$A$47,0)-1,1))</f>
        <v>#NAME?</v>
      </c>
      <c r="C9" s="60" t="e">
        <f ca="1">_xll.BDP(OFFSET(tickers_mkts!$A$1,MATCH(mercados!$A9,tickers_mkts!$A$1:$A$47,0)-1,1),OFFSET(tickers_mkts!$A$1,MATCH(mercados!$C$4,tickers_mkts!$A$1:$A$47,0)-1,1))</f>
        <v>#NAME?</v>
      </c>
      <c r="D9" s="60" t="e">
        <f ca="1">_xll.BDP(OFFSET(tickers_mkts!$A$1,MATCH(mercados!$A9,tickers_mkts!$A$1:$A$47,0)-1,1),OFFSET(tickers_mkts!$A$1,MATCH(mercados!$D$4,tickers_mkts!$A$1:$A$47,0)-1,1))</f>
        <v>#NAME?</v>
      </c>
      <c r="E9" s="61" t="e">
        <f ca="1">_xll.BDP(OFFSET(tickers_mkts!$A$1,MATCH(mercados!$A9,tickers_mkts!$A$1:$A$47,0)-1,1),OFFSET(tickers_mkts!$A$1,MATCH(mercados!$E$4,tickers_mkts!$A$1:$A$47,0)-1,1))</f>
        <v>#NAME?</v>
      </c>
      <c r="F9" s="30"/>
      <c r="G9" s="30"/>
      <c r="H9" s="33"/>
      <c r="I9" s="33"/>
      <c r="J9" s="33"/>
      <c r="K9" s="33"/>
      <c r="L9" s="30"/>
      <c r="M9" s="30"/>
      <c r="N9" s="32"/>
    </row>
    <row r="10" spans="1:14">
      <c r="A10" s="59" t="s">
        <v>29</v>
      </c>
      <c r="B10" s="48" t="e">
        <f ca="1">_xll.BDP(OFFSET(tickers_mkts!$A$1,MATCH(mercados!$A10,tickers_mkts!$A$1:$A$47,0)-1,1),OFFSET(tickers_mkts!$A$1,MATCH(mercados!$B$4,tickers_mkts!$A$1:$A$47,0)-1,1))</f>
        <v>#NAME?</v>
      </c>
      <c r="C10" s="60" t="e">
        <f ca="1">_xll.BDP(OFFSET(tickers_mkts!$A$1,MATCH(mercados!$A10,tickers_mkts!$A$1:$A$47,0)-1,1),OFFSET(tickers_mkts!$A$1,MATCH(mercados!$C$4,tickers_mkts!$A$1:$A$47,0)-1,1))</f>
        <v>#NAME?</v>
      </c>
      <c r="D10" s="60" t="e">
        <f ca="1">_xll.BDP(OFFSET(tickers_mkts!$A$1,MATCH(mercados!$A10,tickers_mkts!$A$1:$A$47,0)-1,1),OFFSET(tickers_mkts!$A$1,MATCH(mercados!$D$4,tickers_mkts!$A$1:$A$47,0)-1,1))</f>
        <v>#NAME?</v>
      </c>
      <c r="E10" s="61" t="e">
        <f ca="1">_xll.BDP(OFFSET(tickers_mkts!$A$1,MATCH(mercados!$A10,tickers_mkts!$A$1:$A$47,0)-1,1),OFFSET(tickers_mkts!$A$1,MATCH(mercados!$E$4,tickers_mkts!$A$1:$A$47,0)-1,1))</f>
        <v>#NAME?</v>
      </c>
      <c r="F10" s="30"/>
      <c r="G10" s="30"/>
      <c r="H10" s="33"/>
      <c r="I10" s="33"/>
      <c r="J10" s="33"/>
      <c r="K10" s="33"/>
      <c r="L10" s="30"/>
      <c r="M10" s="30"/>
      <c r="N10" s="32"/>
    </row>
    <row r="11" spans="1:14">
      <c r="A11" s="59" t="s">
        <v>25</v>
      </c>
      <c r="B11" s="48" t="e">
        <f ca="1">_xll.BDP(OFFSET(tickers_mkts!$A$1,MATCH(mercados!$A11,tickers_mkts!$A$1:$A$47,0)-1,1),OFFSET(tickers_mkts!$A$1,MATCH(mercados!$B$4,tickers_mkts!$A$1:$A$47,0)-1,1))</f>
        <v>#NAME?</v>
      </c>
      <c r="C11" s="61" t="e">
        <f ca="1">_xll.BDP(OFFSET(tickers_mkts!$A$1,MATCH(mercados!$A11,tickers_mkts!$A$1:$A$47,0)-1,1),OFFSET(tickers_mkts!$A$1,MATCH(mercados!$C$4,tickers_mkts!$A$1:$A$47,0)-1,1))</f>
        <v>#NAME?</v>
      </c>
      <c r="D11" s="61" t="e">
        <f ca="1">_xll.BDP(OFFSET(tickers_mkts!$A$1,MATCH(mercados!$A11,tickers_mkts!$A$1:$A$47,0)-1,1),OFFSET(tickers_mkts!$A$1,MATCH(mercados!$D$4,tickers_mkts!$A$1:$A$47,0)-1,1))</f>
        <v>#NAME?</v>
      </c>
      <c r="E11" s="61" t="e">
        <f ca="1">_xll.BDP(OFFSET(tickers_mkts!$A$1,MATCH(mercados!$A11,tickers_mkts!$A$1:$A$47,0)-1,1),OFFSET(tickers_mkts!$A$1,MATCH(mercados!$E$4,tickers_mkts!$A$1:$A$47,0)-1,1))</f>
        <v>#NAME?</v>
      </c>
      <c r="F11" s="30"/>
      <c r="G11" s="30"/>
      <c r="H11" s="33"/>
      <c r="I11" s="33"/>
      <c r="J11" s="33"/>
      <c r="K11" s="33"/>
      <c r="L11" s="30"/>
      <c r="M11" s="30"/>
      <c r="N11" s="32"/>
    </row>
    <row r="12" spans="1:14">
      <c r="A12" s="59" t="s">
        <v>30</v>
      </c>
      <c r="B12" s="48" t="e">
        <f ca="1">_xll.BDP(OFFSET(tickers_mkts!$A$1,MATCH(mercados!$A12,tickers_mkts!$A$1:$A$47,0)-1,1),OFFSET(tickers_mkts!$A$1,MATCH(mercados!$B$4,tickers_mkts!$A$1:$A$47,0)-1,1))</f>
        <v>#NAME?</v>
      </c>
      <c r="C12" s="60" t="e">
        <f ca="1">_xll.BDP(OFFSET(tickers_mkts!$A$1,MATCH(mercados!$A12,tickers_mkts!$A$1:$A$47,0)-1,1),OFFSET(tickers_mkts!$A$1,MATCH(mercados!$C$4,tickers_mkts!$A$1:$A$47,0)-1,1))</f>
        <v>#NAME?</v>
      </c>
      <c r="D12" s="60" t="e">
        <f ca="1">_xll.BDP(OFFSET(tickers_mkts!$A$1,MATCH(mercados!$A12,tickers_mkts!$A$1:$A$47,0)-1,1),OFFSET(tickers_mkts!$A$1,MATCH(mercados!$D$4,tickers_mkts!$A$1:$A$47,0)-1,1))</f>
        <v>#NAME?</v>
      </c>
      <c r="E12" s="61" t="e">
        <f ca="1">_xll.BDP(OFFSET(tickers_mkts!$A$1,MATCH(mercados!$A12,tickers_mkts!$A$1:$A$47,0)-1,1),OFFSET(tickers_mkts!$A$1,MATCH(mercados!$E$4,tickers_mkts!$A$1:$A$47,0)-1,1))</f>
        <v>#NAME?</v>
      </c>
      <c r="F12" s="30"/>
      <c r="G12" s="30"/>
      <c r="H12" s="33"/>
      <c r="I12" s="33"/>
      <c r="J12" s="33"/>
      <c r="K12" s="33"/>
      <c r="L12" s="30"/>
      <c r="M12" s="30"/>
      <c r="N12" s="32"/>
    </row>
    <row r="13" spans="1:14">
      <c r="A13" s="59" t="s">
        <v>34</v>
      </c>
      <c r="B13" s="48" t="e">
        <f ca="1">_xll.BDP(OFFSET(tickers_mkts!$A$1,MATCH(mercados!$A13,tickers_mkts!$A$1:$A$47,0)-1,1),OFFSET(tickers_mkts!$A$1,MATCH(mercados!$B$4,tickers_mkts!$A$1:$A$47,0)-1,1))</f>
        <v>#NAME?</v>
      </c>
      <c r="C13" s="61" t="e">
        <f ca="1">_xll.BDP(OFFSET(tickers_mkts!$A$1,MATCH(mercados!$A13,tickers_mkts!$A$1:$A$47,0)-1,1),OFFSET(tickers_mkts!$A$1,MATCH(mercados!$C$4,tickers_mkts!$A$1:$A$47,0)-1,1))</f>
        <v>#NAME?</v>
      </c>
      <c r="D13" s="61" t="e">
        <f ca="1">_xll.BDP(OFFSET(tickers_mkts!$A$1,MATCH(mercados!$A13,tickers_mkts!$A$1:$A$47,0)-1,1),OFFSET(tickers_mkts!$A$1,MATCH(mercados!$D$4,tickers_mkts!$A$1:$A$47,0)-1,1))</f>
        <v>#NAME?</v>
      </c>
      <c r="E13" s="61" t="e">
        <f ca="1">_xll.BDP(OFFSET(tickers_mkts!$A$1,MATCH(mercados!$A13,tickers_mkts!$A$1:$A$47,0)-1,1),OFFSET(tickers_mkts!$A$1,MATCH(mercados!$E$4,tickers_mkts!$A$1:$A$47,0)-1,1))</f>
        <v>#NAME?</v>
      </c>
      <c r="F13" s="30"/>
      <c r="G13" s="30"/>
      <c r="H13" s="33"/>
      <c r="I13" s="33"/>
      <c r="J13" s="33"/>
      <c r="K13" s="33"/>
      <c r="L13" s="30"/>
      <c r="M13" s="30"/>
      <c r="N13" s="32"/>
    </row>
    <row r="14" spans="1:14">
      <c r="A14" s="59" t="s">
        <v>32</v>
      </c>
      <c r="B14" s="48" t="e">
        <f ca="1">_xll.BDP(OFFSET(tickers_mkts!$A$1,MATCH(mercados!$A14,tickers_mkts!$A$1:$A$47,0)-1,1),OFFSET(tickers_mkts!$A$1,MATCH(mercados!$B$4,tickers_mkts!$A$1:$A$47,0)-1,1))</f>
        <v>#NAME?</v>
      </c>
      <c r="C14" s="61" t="e">
        <f ca="1">_xll.BDP(OFFSET(tickers_mkts!$A$1,MATCH(mercados!$A14,tickers_mkts!$A$1:$A$47,0)-1,1),OFFSET(tickers_mkts!$A$1,MATCH(mercados!$C$4,tickers_mkts!$A$1:$A$47,0)-1,1))</f>
        <v>#NAME?</v>
      </c>
      <c r="D14" s="61" t="e">
        <f ca="1">_xll.BDP(OFFSET(tickers_mkts!$A$1,MATCH(mercados!$A14,tickers_mkts!$A$1:$A$47,0)-1,1),OFFSET(tickers_mkts!$A$1,MATCH(mercados!$D$4,tickers_mkts!$A$1:$A$47,0)-1,1))</f>
        <v>#NAME?</v>
      </c>
      <c r="E14" s="61" t="e">
        <f ca="1">_xll.BDP(OFFSET(tickers_mkts!$A$1,MATCH(mercados!$A14,tickers_mkts!$A$1:$A$47,0)-1,1),OFFSET(tickers_mkts!$A$1,MATCH(mercados!$E$4,tickers_mkts!$A$1:$A$47,0)-1,1))</f>
        <v>#NAME?</v>
      </c>
      <c r="F14" s="30"/>
      <c r="G14" s="30"/>
      <c r="H14" s="33"/>
      <c r="I14" s="33"/>
      <c r="J14" s="33"/>
      <c r="K14" s="33"/>
      <c r="L14" s="30"/>
      <c r="M14" s="30"/>
      <c r="N14" s="32"/>
    </row>
    <row r="15" spans="1:14">
      <c r="A15" s="59" t="s">
        <v>33</v>
      </c>
      <c r="B15" s="48" t="e">
        <f ca="1">_xll.BDP(OFFSET(tickers_mkts!$A$1,MATCH(mercados!$A15,tickers_mkts!$A$1:$A$47,0)-1,1),OFFSET(tickers_mkts!$A$1,MATCH(mercados!$B$4,tickers_mkts!$A$1:$A$47,0)-1,1))</f>
        <v>#NAME?</v>
      </c>
      <c r="C15" s="61" t="e">
        <f ca="1">_xll.BDP(OFFSET(tickers_mkts!$A$1,MATCH(mercados!$A15,tickers_mkts!$A$1:$A$47,0)-1,1),OFFSET(tickers_mkts!$A$1,MATCH(mercados!$C$4,tickers_mkts!$A$1:$A$47,0)-1,1))</f>
        <v>#NAME?</v>
      </c>
      <c r="D15" s="61" t="e">
        <f ca="1">_xll.BDP(OFFSET(tickers_mkts!$A$1,MATCH(mercados!$A15,tickers_mkts!$A$1:$A$47,0)-1,1),OFFSET(tickers_mkts!$A$1,MATCH(mercados!$D$4,tickers_mkts!$A$1:$A$47,0)-1,1))</f>
        <v>#NAME?</v>
      </c>
      <c r="E15" s="61" t="e">
        <f ca="1">_xll.BDP(OFFSET(tickers_mkts!$A$1,MATCH(mercados!$A15,tickers_mkts!$A$1:$A$47,0)-1,1),OFFSET(tickers_mkts!$A$1,MATCH(mercados!$E$4,tickers_mkts!$A$1:$A$47,0)-1,1))</f>
        <v>#NAME?</v>
      </c>
      <c r="F15" s="30"/>
      <c r="G15" s="30"/>
      <c r="H15" s="33"/>
      <c r="I15" s="33"/>
      <c r="J15" s="33"/>
      <c r="K15" s="33"/>
      <c r="L15" s="30"/>
      <c r="M15" s="30"/>
      <c r="N15" s="32"/>
    </row>
    <row r="16" spans="1:14">
      <c r="A16" s="59" t="s">
        <v>35</v>
      </c>
      <c r="B16" s="48" t="e">
        <f ca="1">_xll.BDP(OFFSET(tickers_mkts!$A$1,MATCH(mercados!$A16,tickers_mkts!$A$1:$A$47,0)-1,1),OFFSET(tickers_mkts!$A$1,MATCH(mercados!$B$4,tickers_mkts!$A$1:$A$47,0)-1,1))</f>
        <v>#NAME?</v>
      </c>
      <c r="C16" s="60" t="e">
        <f ca="1">_xll.BDP(OFFSET(tickers_mkts!$A$1,MATCH(mercados!$A16,tickers_mkts!$A$1:$A$47,0)-1,1),OFFSET(tickers_mkts!$A$1,MATCH(mercados!$C$4,tickers_mkts!$A$1:$A$47,0)-1,1))</f>
        <v>#NAME?</v>
      </c>
      <c r="D16" s="60" t="e">
        <f ca="1">_xll.BDP(OFFSET(tickers_mkts!$A$1,MATCH(mercados!$A16,tickers_mkts!$A$1:$A$47,0)-1,1),OFFSET(tickers_mkts!$A$1,MATCH(mercados!$D$4,tickers_mkts!$A$1:$A$47,0)-1,1))</f>
        <v>#NAME?</v>
      </c>
      <c r="E16" s="61" t="e">
        <f ca="1">_xll.BDP(OFFSET(tickers_mkts!$A$1,MATCH(mercados!$A16,tickers_mkts!$A$1:$A$47,0)-1,1),OFFSET(tickers_mkts!$A$1,MATCH(mercados!$E$4,tickers_mkts!$A$1:$A$47,0)-1,1))</f>
        <v>#NAME?</v>
      </c>
      <c r="F16" s="30"/>
      <c r="G16" s="30"/>
      <c r="H16" s="33"/>
      <c r="I16" s="33"/>
      <c r="J16" s="33"/>
      <c r="K16" s="33"/>
      <c r="L16" s="30"/>
      <c r="M16" s="30"/>
      <c r="N16" s="32"/>
    </row>
    <row r="17" spans="1:14">
      <c r="A17" s="59" t="s">
        <v>36</v>
      </c>
      <c r="B17" s="48" t="e">
        <f ca="1">_xll.BDP(OFFSET(tickers_mkts!$A$1,MATCH(mercados!$A17,tickers_mkts!$A$1:$A$47,0)-1,1),OFFSET(tickers_mkts!$A$1,MATCH(mercados!$B$4,tickers_mkts!$A$1:$A$47,0)-1,1))</f>
        <v>#NAME?</v>
      </c>
      <c r="C17" s="61" t="e">
        <f ca="1">_xll.BDP(OFFSET(tickers_mkts!$A$1,MATCH(mercados!$A17,tickers_mkts!$A$1:$A$47,0)-1,1),OFFSET(tickers_mkts!$A$1,MATCH(mercados!$C$4,tickers_mkts!$A$1:$A$47,0)-1,1))</f>
        <v>#NAME?</v>
      </c>
      <c r="D17" s="61" t="e">
        <f ca="1">_xll.BDP(OFFSET(tickers_mkts!$A$1,MATCH(mercados!$A17,tickers_mkts!$A$1:$A$47,0)-1,1),OFFSET(tickers_mkts!$A$1,MATCH(mercados!$D$4,tickers_mkts!$A$1:$A$47,0)-1,1))</f>
        <v>#NAME?</v>
      </c>
      <c r="E17" s="61" t="e">
        <f ca="1">_xll.BDP(OFFSET(tickers_mkts!$A$1,MATCH(mercados!$A17,tickers_mkts!$A$1:$A$47,0)-1,1),OFFSET(tickers_mkts!$A$1,MATCH(mercados!$E$4,tickers_mkts!$A$1:$A$47,0)-1,1))</f>
        <v>#NAME?</v>
      </c>
      <c r="F17" s="30"/>
      <c r="G17" s="30"/>
      <c r="H17" s="33"/>
      <c r="I17" s="33"/>
      <c r="J17" s="33"/>
      <c r="K17" s="33"/>
      <c r="L17" s="30"/>
      <c r="M17" s="30"/>
      <c r="N17" s="32"/>
    </row>
    <row r="18" spans="1:14">
      <c r="A18" s="59"/>
      <c r="B18" s="138"/>
      <c r="C18" s="138"/>
      <c r="D18" s="138"/>
      <c r="E18" s="138"/>
      <c r="F18" s="30"/>
      <c r="G18" s="30"/>
      <c r="H18" s="33"/>
      <c r="I18" s="33"/>
      <c r="J18" s="33"/>
      <c r="K18" s="33"/>
      <c r="L18" s="30"/>
      <c r="M18" s="30"/>
      <c r="N18" s="32"/>
    </row>
    <row r="19" spans="1:14">
      <c r="A19" s="137" t="s">
        <v>55</v>
      </c>
      <c r="B19" s="72" t="s">
        <v>19</v>
      </c>
      <c r="C19" s="72" t="s">
        <v>43</v>
      </c>
      <c r="D19" s="72" t="s">
        <v>21</v>
      </c>
      <c r="E19" s="72" t="s">
        <v>22</v>
      </c>
      <c r="F19" s="30"/>
      <c r="G19" s="30"/>
      <c r="H19" s="33"/>
      <c r="I19" s="33"/>
      <c r="J19" s="33"/>
      <c r="K19" s="33"/>
      <c r="L19" s="30"/>
      <c r="M19" s="30"/>
      <c r="N19" s="32"/>
    </row>
    <row r="20" spans="1:14">
      <c r="A20" s="59" t="s">
        <v>56</v>
      </c>
      <c r="B20" s="49" t="e">
        <f ca="1">_xll.BDP(OFFSET(tickers_mkts!$A$1,MATCH(mercados!$A20,tickers_mkts!$A$1:$A$47,0)-1,1),OFFSET(tickers_mkts!$A$1,MATCH(mercados!$B$19,tickers_mkts!$A$1:$A$47,0)-1,1))</f>
        <v>#NAME?</v>
      </c>
      <c r="C20" s="87" t="e">
        <f ca="1">_xll.BDP(OFFSET(tickers_mkts!$A$1,MATCH(mercados!$A20,tickers_mkts!$A$1:$A$47,0)-1,1),OFFSET(tickers_mkts!$A$1,MATCH(mercados!$C$19,tickers_mkts!$A$1:$A$47,0)-1,1))</f>
        <v>#NAME?</v>
      </c>
      <c r="D20" s="87" t="e">
        <f ca="1">_xll.BDP(OFFSET(tickers_mkts!$A$1,MATCH(mercados!$A20,tickers_mkts!$A$1:$A$47,0)-1,1),OFFSET(tickers_mkts!$A$1,MATCH(mercados!$D$19,tickers_mkts!$A$1:$A$47,0)-1,1))</f>
        <v>#NAME?</v>
      </c>
      <c r="E20" s="87" t="e">
        <f ca="1">_xll.BDP(OFFSET(tickers_mkts!$A$1,MATCH(mercados!$A20,tickers_mkts!$A$1:$A$47,0)-1,1),OFFSET(tickers_mkts!$A$1,MATCH(mercados!$E$19,tickers_mkts!$A$1:$A$47,0)-1,1))</f>
        <v>#NAME?</v>
      </c>
      <c r="F20" s="30"/>
      <c r="G20" s="30"/>
      <c r="H20" s="33"/>
      <c r="I20" s="33"/>
      <c r="J20" s="33"/>
      <c r="K20" s="33"/>
      <c r="L20" s="30"/>
      <c r="M20" s="30"/>
      <c r="N20" s="32"/>
    </row>
    <row r="21" spans="1:14">
      <c r="A21" s="59" t="s">
        <v>57</v>
      </c>
      <c r="B21" s="49" t="e">
        <f ca="1">_xll.BDP(OFFSET(tickers_mkts!$A$1,MATCH(mercados!$A21,tickers_mkts!$A$1:$A$47,0)-1,1),OFFSET(tickers_mkts!$A$1,MATCH(mercados!$B$19,tickers_mkts!$A$1:$A$47,0)-1,1))</f>
        <v>#NAME?</v>
      </c>
      <c r="C21" s="62" t="e">
        <f ca="1">_xll.BDP(OFFSET(tickers_mkts!$A$1,MATCH(mercados!$A21,tickers_mkts!$A$1:$A$47,0)-1,1),OFFSET(tickers_mkts!$A$1,MATCH(mercados!$C$19,tickers_mkts!$A$1:$A$47,0)-1,1))</f>
        <v>#NAME?</v>
      </c>
      <c r="D21" s="62" t="e">
        <f ca="1">_xll.BDP(OFFSET(tickers_mkts!$A$1,MATCH(mercados!$A21,tickers_mkts!$A$1:$A$47,0)-1,1),OFFSET(tickers_mkts!$A$1,MATCH(mercados!$D$19,tickers_mkts!$A$1:$A$47,0)-1,1))</f>
        <v>#NAME?</v>
      </c>
      <c r="E21" s="87" t="e">
        <f ca="1">_xll.BDP(OFFSET(tickers_mkts!$A$1,MATCH(mercados!$A21,tickers_mkts!$A$1:$A$47,0)-1,1),OFFSET(tickers_mkts!$A$1,MATCH(mercados!$E$19,tickers_mkts!$A$1:$A$47,0)-1,1))</f>
        <v>#NAME?</v>
      </c>
      <c r="F21" s="30"/>
      <c r="G21" s="30"/>
      <c r="H21" s="33"/>
      <c r="I21" s="33"/>
      <c r="J21" s="33"/>
      <c r="K21" s="33"/>
      <c r="L21" s="30"/>
      <c r="M21" s="30"/>
      <c r="N21" s="32"/>
    </row>
    <row r="22" spans="1:14">
      <c r="A22" s="59" t="s">
        <v>58</v>
      </c>
      <c r="B22" s="49" t="e">
        <f ca="1">_xll.BDP(OFFSET(tickers_mkts!$A$1,MATCH(mercados!$A22,tickers_mkts!$A$1:$A$47,0)-1,1),OFFSET(tickers_mkts!$A$1,MATCH(mercados!$B$19,tickers_mkts!$A$1:$A$47,0)-1,1))</f>
        <v>#NAME?</v>
      </c>
      <c r="C22" s="62" t="e">
        <f ca="1">_xll.BDP(OFFSET(tickers_mkts!$A$1,MATCH(mercados!$A22,tickers_mkts!$A$1:$A$47,0)-1,1),OFFSET(tickers_mkts!$A$1,MATCH(mercados!$C$19,tickers_mkts!$A$1:$A$47,0)-1,1))</f>
        <v>#NAME?</v>
      </c>
      <c r="D22" s="62" t="e">
        <f ca="1">_xll.BDP(OFFSET(tickers_mkts!$A$1,MATCH(mercados!$A22,tickers_mkts!$A$1:$A$47,0)-1,1),OFFSET(tickers_mkts!$A$1,MATCH(mercados!$D$19,tickers_mkts!$A$1:$A$47,0)-1,1))</f>
        <v>#NAME?</v>
      </c>
      <c r="E22" s="87" t="e">
        <f ca="1">_xll.BDP(OFFSET(tickers_mkts!$A$1,MATCH(mercados!$A22,tickers_mkts!$A$1:$A$47,0)-1,1),OFFSET(tickers_mkts!$A$1,MATCH(mercados!$E$19,tickers_mkts!$A$1:$A$47,0)-1,1))</f>
        <v>#NAME?</v>
      </c>
      <c r="F22" s="30"/>
      <c r="G22" s="63"/>
      <c r="H22" s="33"/>
      <c r="I22" s="33"/>
      <c r="J22" s="33"/>
      <c r="K22" s="33"/>
      <c r="L22" s="30"/>
      <c r="M22" s="30"/>
      <c r="N22" s="32"/>
    </row>
    <row r="23" spans="1:14">
      <c r="A23" s="59" t="s">
        <v>59</v>
      </c>
      <c r="B23" s="49" t="e">
        <f ca="1">_xll.BDP(OFFSET(tickers_mkts!$A$1,MATCH(mercados!$A23,tickers_mkts!$A$1:$A$47,0)-1,1),OFFSET(tickers_mkts!$A$1,MATCH(mercados!$B$19,tickers_mkts!$A$1:$A$47,0)-1,1))</f>
        <v>#NAME?</v>
      </c>
      <c r="C23" s="62" t="e">
        <f ca="1">_xll.BDP(OFFSET(tickers_mkts!$A$1,MATCH(mercados!$A23,tickers_mkts!$A$1:$A$47,0)-1,1),OFFSET(tickers_mkts!$A$1,MATCH(mercados!$C$19,tickers_mkts!$A$1:$A$47,0)-1,1))</f>
        <v>#NAME?</v>
      </c>
      <c r="D23" s="62" t="e">
        <f ca="1">_xll.BDP(OFFSET(tickers_mkts!$A$1,MATCH(mercados!$A23,tickers_mkts!$A$1:$A$47,0)-1,1),OFFSET(tickers_mkts!$A$1,MATCH(mercados!$D$19,tickers_mkts!$A$1:$A$47,0)-1,1))</f>
        <v>#NAME?</v>
      </c>
      <c r="E23" s="62" t="e">
        <f ca="1">_xll.BDP(OFFSET(tickers_mkts!$A$1,MATCH(mercados!$A23,tickers_mkts!$A$1:$A$47,0)-1,1),OFFSET(tickers_mkts!$A$1,MATCH(mercados!$E$19,tickers_mkts!$A$1:$A$47,0)-1,1))</f>
        <v>#NAME?</v>
      </c>
      <c r="F23" s="30"/>
      <c r="G23" s="64"/>
      <c r="H23" s="33"/>
      <c r="I23" s="33"/>
      <c r="J23" s="33"/>
      <c r="K23" s="33"/>
      <c r="L23" s="30"/>
      <c r="M23" s="30"/>
      <c r="N23" s="32"/>
    </row>
    <row r="24" spans="1:14">
      <c r="A24" s="59" t="s">
        <v>62</v>
      </c>
      <c r="B24" s="49" t="e">
        <f ca="1">_xll.BDP(OFFSET(tickers_mkts!$A$1,MATCH(mercados!$A24,tickers_mkts!$A$1:$A$47,0)-1,1),OFFSET(tickers_mkts!$A$1,MATCH(mercados!$B$19,tickers_mkts!$A$1:$A$47,0)-1,1))</f>
        <v>#NAME?</v>
      </c>
      <c r="C24" s="87" t="e">
        <f ca="1">_xll.BDP(OFFSET(tickers_mkts!$A$1,MATCH(mercados!$A24,tickers_mkts!$A$1:$A$47,0)-1,1),OFFSET(tickers_mkts!$A$1,MATCH(mercados!$C$19,tickers_mkts!$A$1:$A$47,0)-1,1))</f>
        <v>#NAME?</v>
      </c>
      <c r="D24" s="62" t="e">
        <f ca="1">_xll.BDP(OFFSET(tickers_mkts!$A$1,MATCH(mercados!$A24,tickers_mkts!$A$1:$A$47,0)-1,1),OFFSET(tickers_mkts!$A$1,MATCH(mercados!$D$19,tickers_mkts!$A$1:$A$47,0)-1,1))</f>
        <v>#NAME?</v>
      </c>
      <c r="E24" s="62" t="e">
        <f ca="1">_xll.BDP(OFFSET(tickers_mkts!$A$1,MATCH(mercados!$A24,tickers_mkts!$A$1:$A$47,0)-1,1),OFFSET(tickers_mkts!$A$1,MATCH(mercados!$E$19,tickers_mkts!$A$1:$A$47,0)-1,1))</f>
        <v>#NAME?</v>
      </c>
      <c r="F24" s="30"/>
      <c r="G24" s="64"/>
      <c r="H24" s="33"/>
      <c r="I24" s="33"/>
      <c r="J24" s="33"/>
      <c r="K24" s="33"/>
      <c r="L24" s="30"/>
      <c r="M24" s="30"/>
      <c r="N24" s="32"/>
    </row>
    <row r="25" spans="1:14">
      <c r="A25" s="59" t="s">
        <v>61</v>
      </c>
      <c r="B25" s="49" t="e">
        <f ca="1">_xll.BDP(OFFSET(tickers_mkts!$A$1,MATCH(mercados!$A25,tickers_mkts!$A$1:$A$47,0)-1,1),OFFSET(tickers_mkts!$A$1,MATCH(mercados!$B$19,tickers_mkts!$A$1:$A$47,0)-1,1))</f>
        <v>#NAME?</v>
      </c>
      <c r="C25" s="87" t="e">
        <f ca="1">_xll.BDP(OFFSET(tickers_mkts!$A$1,MATCH(mercados!$A25,tickers_mkts!$A$1:$A$47,0)-1,1),OFFSET(tickers_mkts!$A$1,MATCH(mercados!$C$19,tickers_mkts!$A$1:$A$47,0)-1,1))</f>
        <v>#NAME?</v>
      </c>
      <c r="D25" s="62" t="e">
        <f ca="1">_xll.BDP(OFFSET(tickers_mkts!$A$1,MATCH(mercados!$A25,tickers_mkts!$A$1:$A$47,0)-1,1),OFFSET(tickers_mkts!$A$1,MATCH(mercados!$D$19,tickers_mkts!$A$1:$A$47,0)-1,1))</f>
        <v>#NAME?</v>
      </c>
      <c r="E25" s="62" t="e">
        <f ca="1">_xll.BDP(OFFSET(tickers_mkts!$A$1,MATCH(mercados!$A25,tickers_mkts!$A$1:$A$47,0)-1,1),OFFSET(tickers_mkts!$A$1,MATCH(mercados!$E$19,tickers_mkts!$A$1:$A$47,0)-1,1))</f>
        <v>#NAME?</v>
      </c>
      <c r="F25" s="30"/>
      <c r="G25" s="64"/>
      <c r="H25" s="33"/>
      <c r="I25" s="33"/>
      <c r="J25" s="33"/>
      <c r="K25" s="33"/>
      <c r="L25" s="30"/>
      <c r="M25" s="30"/>
      <c r="N25" s="32"/>
    </row>
    <row r="26" spans="1:14">
      <c r="A26" s="59" t="s">
        <v>60</v>
      </c>
      <c r="B26" s="49" t="e">
        <f ca="1">_xll.BDP(OFFSET(tickers_mkts!$A$1,MATCH(mercados!$A26,tickers_mkts!$A$1:$A$47,0)-1,1),OFFSET(tickers_mkts!$A$1,MATCH(mercados!$B$19,tickers_mkts!$A$1:$A$47,0)-1,1))</f>
        <v>#NAME?</v>
      </c>
      <c r="C26" s="87" t="e">
        <f ca="1">_xll.BDP(OFFSET(tickers_mkts!$A$1,MATCH(mercados!$A26,tickers_mkts!$A$1:$A$47,0)-1,1),OFFSET(tickers_mkts!$A$1,MATCH(mercados!$C$19,tickers_mkts!$A$1:$A$47,0)-1,1))</f>
        <v>#NAME?</v>
      </c>
      <c r="D26" s="62" t="e">
        <f ca="1">_xll.BDP(OFFSET(tickers_mkts!$A$1,MATCH(mercados!$A26,tickers_mkts!$A$1:$A$47,0)-1,1),OFFSET(tickers_mkts!$A$1,MATCH(mercados!$D$19,tickers_mkts!$A$1:$A$47,0)-1,1))</f>
        <v>#NAME?</v>
      </c>
      <c r="E26" s="62" t="e">
        <f ca="1">_xll.BDP(OFFSET(tickers_mkts!$A$1,MATCH(mercados!$A26,tickers_mkts!$A$1:$A$47,0)-1,1),OFFSET(tickers_mkts!$A$1,MATCH(mercados!$E$19,tickers_mkts!$A$1:$A$47,0)-1,1))</f>
        <v>#NAME?</v>
      </c>
      <c r="F26" s="30"/>
      <c r="G26" s="30"/>
      <c r="H26" s="33"/>
      <c r="I26" s="33"/>
      <c r="J26" s="33"/>
      <c r="K26" s="33"/>
      <c r="L26" s="30"/>
      <c r="M26" s="30"/>
      <c r="N26" s="32"/>
    </row>
    <row r="27" spans="1:14">
      <c r="A27" s="65" t="s">
        <v>388</v>
      </c>
      <c r="B27" s="49" t="e">
        <f ca="1">_xll.BDP(OFFSET(tickers_mkts!$A$1,MATCH(mercados!$A27,tickers_mkts!$A$1:$A$47,0)-1,1),OFFSET(tickers_mkts!$A$1,MATCH(mercados!$B$19,tickers_mkts!$A$1:$A$47,0)-1,1))</f>
        <v>#NAME?</v>
      </c>
      <c r="C27" s="62" t="e">
        <f ca="1">_xll.BDP(OFFSET(tickers_mkts!$A$1,MATCH(mercados!$A27,tickers_mkts!$A$1:$A$47,0)-1,1),OFFSET(tickers_mkts!$A$1,MATCH(mercados!$C$19,tickers_mkts!$A$1:$A$47,0)-1,1))</f>
        <v>#NAME?</v>
      </c>
      <c r="D27" s="87" t="e">
        <f ca="1">_xll.BDP(OFFSET(tickers_mkts!$A$1,MATCH(mercados!$A27,tickers_mkts!$A$1:$A$47,0)-1,1),OFFSET(tickers_mkts!$A$1,MATCH(mercados!$D$19,tickers_mkts!$A$1:$A$47,0)-1,1))</f>
        <v>#NAME?</v>
      </c>
      <c r="E27" s="62" t="e">
        <f ca="1">_xll.BDP(OFFSET(tickers_mkts!$A$1,MATCH(mercados!$A27,tickers_mkts!$A$1:$A$47,0)-1,1),OFFSET(tickers_mkts!$A$1,MATCH(mercados!$E$19,tickers_mkts!$A$1:$A$47,0)-1,1))</f>
        <v>#NAME?</v>
      </c>
      <c r="F27" s="30"/>
      <c r="G27" s="30"/>
      <c r="H27" s="33"/>
      <c r="I27" s="33"/>
      <c r="J27" s="33"/>
      <c r="K27" s="33"/>
      <c r="L27" s="30"/>
      <c r="M27" s="30"/>
      <c r="N27" s="32"/>
    </row>
    <row r="28" spans="1:14">
      <c r="A28" s="59" t="s">
        <v>63</v>
      </c>
      <c r="B28" s="49" t="e">
        <f ca="1">_xll.BDP(OFFSET(tickers_mkts!$A$1,MATCH(mercados!$A28,tickers_mkts!$A$1:$A$47,0)-1,1),OFFSET(tickers_mkts!$A$1,MATCH(mercados!$B$19,tickers_mkts!$A$1:$A$47,0)-1,1))</f>
        <v>#NAME?</v>
      </c>
      <c r="C28" s="87" t="e">
        <f ca="1">_xll.BDP(OFFSET(tickers_mkts!$A$1,MATCH(mercados!$A28,tickers_mkts!$A$1:$A$47,0)-1,1),OFFSET(tickers_mkts!$A$1,MATCH(mercados!$C$19,tickers_mkts!$A$1:$A$47,0)-1,1))</f>
        <v>#NAME?</v>
      </c>
      <c r="D28" s="62" t="e">
        <f ca="1">_xll.BDP(OFFSET(tickers_mkts!$A$1,MATCH(mercados!$A28,tickers_mkts!$A$1:$A$47,0)-1,1),OFFSET(tickers_mkts!$A$1,MATCH(mercados!$D$19,tickers_mkts!$A$1:$A$47,0)-1,1))</f>
        <v>#NAME?</v>
      </c>
      <c r="E28" s="62" t="e">
        <f ca="1">_xll.BDP(OFFSET(tickers_mkts!$A$1,MATCH(mercados!$A28,tickers_mkts!$A$1:$A$47,0)-1,1),OFFSET(tickers_mkts!$A$1,MATCH(mercados!$E$19,tickers_mkts!$A$1:$A$47,0)-1,1))</f>
        <v>#NAME?</v>
      </c>
      <c r="F28" s="30"/>
      <c r="G28" s="30"/>
      <c r="H28" s="33"/>
      <c r="I28" s="33"/>
      <c r="J28" s="33"/>
      <c r="K28" s="33"/>
      <c r="L28" s="30"/>
      <c r="M28" s="30"/>
      <c r="N28" s="32"/>
    </row>
    <row r="29" spans="1:14">
      <c r="A29" s="59" t="s">
        <v>389</v>
      </c>
      <c r="B29" s="49" t="e">
        <f ca="1">_xll.BDP(OFFSET(tickers_mkts!$A$1,MATCH(mercados!$A29,tickers_mkts!$A$1:$A$47,0)-1,1),OFFSET(tickers_mkts!$A$1,MATCH(mercados!$B$19,tickers_mkts!$A$1:$A$47,0)-1,1))</f>
        <v>#NAME?</v>
      </c>
      <c r="C29" s="87" t="e">
        <f ca="1">_xll.BDP(OFFSET(tickers_mkts!$A$1,MATCH(mercados!$A29,tickers_mkts!$A$1:$A$47,0)-1,1),OFFSET(tickers_mkts!$A$1,MATCH(mercados!$C$19,tickers_mkts!$A$1:$A$47,0)-1,1))</f>
        <v>#NAME?</v>
      </c>
      <c r="D29" s="62" t="e">
        <f ca="1">_xll.BDP(OFFSET(tickers_mkts!$A$1,MATCH(mercados!$A29,tickers_mkts!$A$1:$A$47,0)-1,1),OFFSET(tickers_mkts!$A$1,MATCH(mercados!$D$19,tickers_mkts!$A$1:$A$47,0)-1,1))</f>
        <v>#NAME?</v>
      </c>
      <c r="E29" s="62" t="e">
        <f ca="1">_xll.BDP(OFFSET(tickers_mkts!$A$1,MATCH(mercados!$A29,tickers_mkts!$A$1:$A$47,0)-1,1),OFFSET(tickers_mkts!$A$1,MATCH(mercados!$E$19,tickers_mkts!$A$1:$A$47,0)-1,1))</f>
        <v>#NAME?</v>
      </c>
      <c r="F29" s="30"/>
      <c r="G29" s="30"/>
      <c r="H29" s="33"/>
      <c r="I29" s="33"/>
      <c r="J29" s="33"/>
      <c r="K29" s="33"/>
      <c r="L29" s="30"/>
      <c r="M29" s="30"/>
      <c r="N29" s="32"/>
    </row>
    <row r="30" spans="1:14">
      <c r="A30" s="59" t="s">
        <v>64</v>
      </c>
      <c r="B30" s="49" t="e">
        <f ca="1">_xll.BDP(OFFSET(tickers_mkts!$A$1,MATCH(mercados!$A30,tickers_mkts!$A$1:$A$47,0)-1,1),OFFSET(tickers_mkts!$A$1,MATCH(mercados!$B$19,tickers_mkts!$A$1:$A$47,0)-1,1))</f>
        <v>#NAME?</v>
      </c>
      <c r="C30" s="87" t="e">
        <f ca="1">_xll.BDP(OFFSET(tickers_mkts!$A$1,MATCH(mercados!$A30,tickers_mkts!$A$1:$A$47,0)-1,1),OFFSET(tickers_mkts!$A$1,MATCH(mercados!$C$19,tickers_mkts!$A$1:$A$47,0)-1,1))</f>
        <v>#NAME?</v>
      </c>
      <c r="D30" s="62" t="e">
        <f ca="1">_xll.BDP(OFFSET(tickers_mkts!$A$1,MATCH(mercados!$A30,tickers_mkts!$A$1:$A$47,0)-1,1),OFFSET(tickers_mkts!$A$1,MATCH(mercados!$D$19,tickers_mkts!$A$1:$A$47,0)-1,1))</f>
        <v>#NAME?</v>
      </c>
      <c r="E30" s="62" t="e">
        <f ca="1">_xll.BDP(OFFSET(tickers_mkts!$A$1,MATCH(mercados!$A30,tickers_mkts!$A$1:$A$47,0)-1,1),OFFSET(tickers_mkts!$A$1,MATCH(mercados!$E$19,tickers_mkts!$A$1:$A$47,0)-1,1))</f>
        <v>#NAME?</v>
      </c>
      <c r="F30" s="30"/>
      <c r="G30" s="30"/>
      <c r="H30" s="33"/>
      <c r="I30" s="33"/>
      <c r="J30" s="33"/>
      <c r="K30" s="33"/>
      <c r="L30" s="30"/>
      <c r="M30" s="30"/>
      <c r="N30" s="32"/>
    </row>
    <row r="31" spans="1:14">
      <c r="A31" s="59"/>
      <c r="B31" s="138"/>
      <c r="C31" s="138"/>
      <c r="D31" s="138"/>
      <c r="E31" s="138"/>
      <c r="F31" s="30"/>
      <c r="G31" s="30"/>
      <c r="H31" s="33"/>
      <c r="I31" s="33"/>
      <c r="J31" s="33"/>
      <c r="K31" s="33"/>
      <c r="L31" s="30"/>
      <c r="M31" s="30"/>
      <c r="N31" s="32"/>
    </row>
    <row r="32" spans="1:14">
      <c r="A32" s="137" t="s">
        <v>44</v>
      </c>
      <c r="B32" s="72" t="s">
        <v>19</v>
      </c>
      <c r="C32" s="72" t="s">
        <v>53</v>
      </c>
      <c r="D32" s="72" t="s">
        <v>54</v>
      </c>
      <c r="E32" s="72"/>
      <c r="F32" s="30"/>
      <c r="G32" s="30"/>
      <c r="H32" s="33"/>
      <c r="I32" s="33"/>
      <c r="J32" s="33"/>
      <c r="K32" s="33"/>
      <c r="L32" s="30"/>
      <c r="M32" s="30"/>
      <c r="N32" s="32"/>
    </row>
    <row r="33" spans="1:14">
      <c r="A33" s="59" t="s">
        <v>45</v>
      </c>
      <c r="B33" s="51" t="e">
        <f ca="1">_xll.BDP(OFFSET(tickers_mkts!$A$1,MATCH(mercados!$A33,tickers_mkts!$A$1:$A$47,0)-1,1),OFFSET(tickers_mkts!$A$1,MATCH(mercados!$B$32,tickers_mkts!$A$1:$A$47,0)-1,1))</f>
        <v>#NAME?</v>
      </c>
      <c r="C33" s="122" t="e">
        <f ca="1">_xll.BDP(OFFSET(tickers_mkts!$A$1,MATCH(mercados!$A33,tickers_mkts!$A$1:$A$47,0)-1,1),OFFSET(tickers_mkts!$A$1,MATCH(mercados!$C$32,tickers_mkts!$A$1:$A$47,0)-1,1))</f>
        <v>#NAME?</v>
      </c>
      <c r="D33" s="86" t="e">
        <f ca="1">_xll.BDP(OFFSET(tickers_mkts!$A$1,MATCH(mercados!$A33,tickers_mkts!$A$1:$A$47,0)-1,1),OFFSET(tickers_mkts!$A$1,MATCH(mercados!$D$32,tickers_mkts!$A$1:$A$47,0)-1,1))</f>
        <v>#NAME?</v>
      </c>
      <c r="E33" s="66"/>
      <c r="F33" s="30"/>
      <c r="G33" s="30"/>
      <c r="H33" s="33"/>
      <c r="I33" s="33"/>
      <c r="J33" s="33"/>
      <c r="K33" s="33"/>
      <c r="L33" s="30"/>
      <c r="M33" s="30"/>
      <c r="N33" s="32"/>
    </row>
    <row r="34" spans="1:14">
      <c r="A34" s="59" t="s">
        <v>46</v>
      </c>
      <c r="B34" s="51" t="e">
        <f ca="1">_xll.BDP(OFFSET(tickers_mkts!$A$1,MATCH(mercados!$A34,tickers_mkts!$A$1:$A$47,0)-1,1),OFFSET(tickers_mkts!$A$1,MATCH(mercados!$B$32,tickers_mkts!$A$1:$A$47,0)-1,1))</f>
        <v>#NAME?</v>
      </c>
      <c r="C34" s="91" t="e">
        <f ca="1">_xll.BDP(OFFSET(tickers_mkts!$A$1,MATCH(mercados!$A34,tickers_mkts!$A$1:$A$47,0)-1,1),OFFSET(tickers_mkts!$A$1,MATCH(mercados!$C$32,tickers_mkts!$A$1:$A$47,0)-1,1))</f>
        <v>#NAME?</v>
      </c>
      <c r="D34" s="91" t="e">
        <f ca="1">_xll.BDP(OFFSET(tickers_mkts!$A$1,MATCH(mercados!$A34,tickers_mkts!$A$1:$A$47,0)-1,1),OFFSET(tickers_mkts!$A$1,MATCH(mercados!$D$32,tickers_mkts!$A$1:$A$47,0)-1,1))</f>
        <v>#NAME?</v>
      </c>
      <c r="E34" s="66"/>
      <c r="F34" s="30"/>
      <c r="G34" s="30"/>
      <c r="H34" s="33"/>
      <c r="I34" s="33"/>
      <c r="J34" s="33"/>
      <c r="K34" s="33"/>
      <c r="L34" s="30"/>
      <c r="M34" s="30"/>
      <c r="N34" s="32"/>
    </row>
    <row r="35" spans="1:14">
      <c r="A35" s="59" t="s">
        <v>47</v>
      </c>
      <c r="B35" s="51" t="e">
        <f ca="1">_xll.BDP(OFFSET(tickers_mkts!$A$1,MATCH(mercados!$A35,tickers_mkts!$A$1:$A$47,0)-1,1),OFFSET(tickers_mkts!$A$1,MATCH(mercados!$B$32,tickers_mkts!$A$1:$A$47,0)-1,1))</f>
        <v>#NAME?</v>
      </c>
      <c r="C35" s="91" t="e">
        <f ca="1">_xll.BDP(OFFSET(tickers_mkts!$A$1,MATCH(mercados!$A35,tickers_mkts!$A$1:$A$47,0)-1,1),OFFSET(tickers_mkts!$A$1,MATCH(mercados!$C$32,tickers_mkts!$A$1:$A$47,0)-1,1))</f>
        <v>#NAME?</v>
      </c>
      <c r="D35" s="91" t="e">
        <f ca="1">_xll.BDP(OFFSET(tickers_mkts!$A$1,MATCH(mercados!$A35,tickers_mkts!$A$1:$A$47,0)-1,1),OFFSET(tickers_mkts!$A$1,MATCH(mercados!$D$32,tickers_mkts!$A$1:$A$47,0)-1,1))</f>
        <v>#NAME?</v>
      </c>
      <c r="E35" s="66"/>
      <c r="F35" s="30"/>
      <c r="G35" s="30"/>
      <c r="H35" s="33"/>
      <c r="I35" s="33"/>
      <c r="J35" s="33"/>
      <c r="K35" s="33"/>
      <c r="L35" s="30"/>
      <c r="M35" s="30"/>
      <c r="N35" s="32"/>
    </row>
    <row r="36" spans="1:14">
      <c r="A36" s="59" t="s">
        <v>48</v>
      </c>
      <c r="B36" s="51" t="e">
        <f ca="1">_xll.BDP(OFFSET(tickers_mkts!$A$1,MATCH(mercados!$A36,tickers_mkts!$A$1:$A$47,0)-1,1),OFFSET(tickers_mkts!$A$1,MATCH(mercados!$B$32,tickers_mkts!$A$1:$A$47,0)-1,1))</f>
        <v>#NAME?</v>
      </c>
      <c r="C36" s="91" t="e">
        <f ca="1">_xll.BDP(OFFSET(tickers_mkts!$A$1,MATCH(mercados!$A36,tickers_mkts!$A$1:$A$47,0)-1,1),OFFSET(tickers_mkts!$A$1,MATCH(mercados!$C$32,tickers_mkts!$A$1:$A$47,0)-1,1))</f>
        <v>#NAME?</v>
      </c>
      <c r="D36" s="91" t="e">
        <f ca="1">_xll.BDP(OFFSET(tickers_mkts!$A$1,MATCH(mercados!$A36,tickers_mkts!$A$1:$A$47,0)-1,1),OFFSET(tickers_mkts!$A$1,MATCH(mercados!$D$32,tickers_mkts!$A$1:$A$47,0)-1,1))</f>
        <v>#NAME?</v>
      </c>
      <c r="E36" s="66"/>
      <c r="F36" s="30"/>
      <c r="G36" s="30"/>
      <c r="H36" s="33"/>
      <c r="I36" s="33"/>
      <c r="J36" s="33"/>
      <c r="K36" s="33"/>
      <c r="L36" s="30"/>
      <c r="M36" s="30"/>
      <c r="N36" s="32"/>
    </row>
    <row r="37" spans="1:14">
      <c r="A37" s="59" t="s">
        <v>49</v>
      </c>
      <c r="B37" s="51" t="e">
        <f ca="1">_xll.BDP(OFFSET(tickers_mkts!$A$1,MATCH(mercados!$A37,tickers_mkts!$A$1:$A$47,0)-1,1),OFFSET(tickers_mkts!$A$1,MATCH(mercados!$B$32,tickers_mkts!$A$1:$A$47,0)-1,1))</f>
        <v>#NAME?</v>
      </c>
      <c r="C37" s="91" t="e">
        <f ca="1">_xll.BDP(OFFSET(tickers_mkts!$A$1,MATCH(mercados!$A37,tickers_mkts!$A$1:$A$47,0)-1,1),OFFSET(tickers_mkts!$A$1,MATCH(mercados!$C$32,tickers_mkts!$A$1:$A$47,0)-1,1))</f>
        <v>#NAME?</v>
      </c>
      <c r="D37" s="91" t="e">
        <f ca="1">_xll.BDP(OFFSET(tickers_mkts!$A$1,MATCH(mercados!$A37,tickers_mkts!$A$1:$A$47,0)-1,1),OFFSET(tickers_mkts!$A$1,MATCH(mercados!$D$32,tickers_mkts!$A$1:$A$47,0)-1,1))</f>
        <v>#NAME?</v>
      </c>
      <c r="E37" s="66"/>
      <c r="F37" s="30"/>
      <c r="G37" s="30"/>
      <c r="H37" s="33"/>
      <c r="I37" s="33"/>
      <c r="J37" s="33"/>
      <c r="K37" s="33"/>
      <c r="L37" s="30"/>
      <c r="M37" s="30"/>
      <c r="N37" s="32"/>
    </row>
    <row r="38" spans="1:14">
      <c r="A38" s="59" t="s">
        <v>50</v>
      </c>
      <c r="B38" s="51" t="e">
        <f ca="1">_xll.BDP(OFFSET(tickers_mkts!$A$1,MATCH(mercados!$A38,tickers_mkts!$A$1:$A$47,0)-1,1),OFFSET(tickers_mkts!$A$1,MATCH(mercados!$B$32,tickers_mkts!$A$1:$A$47,0)-1,1))</f>
        <v>#NAME?</v>
      </c>
      <c r="C38" s="91" t="e">
        <f ca="1">_xll.BDP(OFFSET(tickers_mkts!$A$1,MATCH(mercados!$A38,tickers_mkts!$A$1:$A$47,0)-1,1),OFFSET(tickers_mkts!$A$1,MATCH(mercados!$C$32,tickers_mkts!$A$1:$A$47,0)-1,1))</f>
        <v>#NAME?</v>
      </c>
      <c r="D38" s="91" t="e">
        <f ca="1">_xll.BDP(OFFSET(tickers_mkts!$A$1,MATCH(mercados!$A38,tickers_mkts!$A$1:$A$47,0)-1,1),OFFSET(tickers_mkts!$A$1,MATCH(mercados!$D$32,tickers_mkts!$A$1:$A$47,0)-1,1))</f>
        <v>#NAME?</v>
      </c>
      <c r="E38" s="66"/>
      <c r="F38" s="30"/>
      <c r="G38" s="30"/>
      <c r="H38" s="33"/>
      <c r="I38" s="33"/>
      <c r="J38" s="33"/>
      <c r="K38" s="33"/>
      <c r="L38" s="30"/>
      <c r="M38" s="30"/>
      <c r="N38" s="32"/>
    </row>
    <row r="39" spans="1:14">
      <c r="A39" s="59" t="s">
        <v>51</v>
      </c>
      <c r="B39" s="51" t="e">
        <f ca="1">_xll.BDP(OFFSET(tickers_mkts!$A$1,MATCH(mercados!$A39,tickers_mkts!$A$1:$A$47,0)-1,1),OFFSET(tickers_mkts!$A$1,MATCH(mercados!$B$32,tickers_mkts!$A$1:$A$47,0)-1,1))</f>
        <v>#NAME?</v>
      </c>
      <c r="C39" s="122" t="e">
        <f ca="1">_xll.BDP(OFFSET(tickers_mkts!$A$1,MATCH(mercados!$A39,tickers_mkts!$A$1:$A$47,0)-1,1),OFFSET(tickers_mkts!$A$1,MATCH(mercados!$C$32,tickers_mkts!$A$1:$A$47,0)-1,1))</f>
        <v>#NAME?</v>
      </c>
      <c r="D39" s="91" t="e">
        <f ca="1">_xll.BDP(OFFSET(tickers_mkts!$A$1,MATCH(mercados!$A39,tickers_mkts!$A$1:$A$47,0)-1,1),OFFSET(tickers_mkts!$A$1,MATCH(mercados!$D$32,tickers_mkts!$A$1:$A$47,0)-1,1))</f>
        <v>#NAME?</v>
      </c>
      <c r="E39" s="66"/>
      <c r="F39" s="30"/>
      <c r="G39" s="30"/>
      <c r="H39" s="33"/>
      <c r="I39" s="33"/>
      <c r="J39" s="33"/>
      <c r="K39" s="33"/>
      <c r="L39" s="30"/>
      <c r="M39" s="30"/>
      <c r="N39" s="32"/>
    </row>
    <row r="40" spans="1:14">
      <c r="A40" s="59" t="s">
        <v>52</v>
      </c>
      <c r="B40" s="51" t="e">
        <f ca="1">_xll.BDP(OFFSET(tickers_mkts!$A$1,MATCH(mercados!$A40,tickers_mkts!$A$1:$A$47,0)-1,1),OFFSET(tickers_mkts!$A$1,MATCH(mercados!$B$32,tickers_mkts!$A$1:$A$47,0)-1,1))</f>
        <v>#NAME?</v>
      </c>
      <c r="C40" s="86" t="e">
        <f ca="1">_xll.BDP(OFFSET(tickers_mkts!$A$1,MATCH(mercados!$A40,tickers_mkts!$A$1:$A$47,0)-1,1),OFFSET(tickers_mkts!$A$1,MATCH(mercados!$C$32,tickers_mkts!$A$1:$A$47,0)-1,1))</f>
        <v>#NAME?</v>
      </c>
      <c r="D40" s="91" t="e">
        <f ca="1">_xll.BDP(OFFSET(tickers_mkts!$A$1,MATCH(mercados!$A40,tickers_mkts!$A$1:$A$47,0)-1,1),OFFSET(tickers_mkts!$A$1,MATCH(mercados!$D$32,tickers_mkts!$A$1:$A$47,0)-1,1))</f>
        <v>#NAME?</v>
      </c>
      <c r="E40" s="66"/>
      <c r="F40" s="30"/>
      <c r="G40" s="30"/>
      <c r="H40" s="33"/>
      <c r="I40" s="33"/>
      <c r="J40" s="33"/>
      <c r="K40" s="33"/>
      <c r="L40" s="30"/>
      <c r="M40" s="30"/>
      <c r="N40" s="32"/>
    </row>
    <row r="41" spans="1:14">
      <c r="A41" s="59" t="s">
        <v>72</v>
      </c>
      <c r="B41" s="51" t="e">
        <f ca="1">_xll.BDP(OFFSET(tickers_mkts!$A$1,MATCH(mercados!$A41,tickers_mkts!$A$1:$A$47,0)-1,1),OFFSET(tickers_mkts!$A$1,MATCH(mercados!$B$32,tickers_mkts!$A$1:$A$47,0)-1,1))</f>
        <v>#NAME?</v>
      </c>
      <c r="C41" s="138" t="e">
        <f ca="1">_xll.BDP(OFFSET(tickers_mkts!$A$1,MATCH(mercados!$A41,tickers_mkts!$A$1:$A$47,0)-1,1),OFFSET(tickers_mkts!$A$1,MATCH(mercados!$C$32,tickers_mkts!$A$1:$A$47,0)-1,1))</f>
        <v>#NAME?</v>
      </c>
      <c r="D41" s="138" t="e">
        <f ca="1">_xll.BDP(OFFSET(tickers_mkts!$A$1,MATCH(mercados!$A41,tickers_mkts!$A$1:$A$47,0)-1,1),OFFSET(tickers_mkts!$A$1,MATCH(mercados!$D$32,tickers_mkts!$A$1:$A$47,0)-1,1))</f>
        <v>#NAME?</v>
      </c>
      <c r="E41" s="138"/>
      <c r="F41" s="30"/>
      <c r="G41" s="30"/>
      <c r="H41" s="33"/>
      <c r="I41" s="33"/>
      <c r="J41" s="33"/>
      <c r="K41" s="33"/>
      <c r="L41" s="30"/>
      <c r="M41" s="30"/>
      <c r="N41" s="32"/>
    </row>
    <row r="42" spans="1:14">
      <c r="A42" s="59" t="s">
        <v>73</v>
      </c>
      <c r="B42" s="51" t="e">
        <f ca="1">_xll.BDP(OFFSET(tickers_mkts!$A$1,MATCH(mercados!$A42,tickers_mkts!$A$1:$A$47,0)-1,1),OFFSET(tickers_mkts!$A$1,MATCH(mercados!$B$32,tickers_mkts!$A$1:$A$47,0)-1,1))</f>
        <v>#NAME?</v>
      </c>
      <c r="C42" s="138" t="e">
        <f ca="1">_xll.BDP(OFFSET(tickers_mkts!$A$1,MATCH(mercados!$A42,tickers_mkts!$A$1:$A$47,0)-1,1),OFFSET(tickers_mkts!$A$1,MATCH(mercados!$C$32,tickers_mkts!$A$1:$A$47,0)-1,1))</f>
        <v>#NAME?</v>
      </c>
      <c r="D42" s="138" t="e">
        <f ca="1">_xll.BDP(OFFSET(tickers_mkts!$A$1,MATCH(mercados!$A42,tickers_mkts!$A$1:$A$47,0)-1,1),OFFSET(tickers_mkts!$A$1,MATCH(mercados!$D$32,tickers_mkts!$A$1:$A$47,0)-1,1))</f>
        <v>#NAME?</v>
      </c>
      <c r="E42" s="138"/>
      <c r="F42" s="30"/>
      <c r="G42" s="30"/>
      <c r="H42" s="33"/>
      <c r="I42" s="33"/>
      <c r="J42" s="33"/>
      <c r="K42" s="33"/>
      <c r="L42" s="30"/>
      <c r="M42" s="30"/>
      <c r="N42" s="32"/>
    </row>
    <row r="43" spans="1:14">
      <c r="A43" s="59"/>
      <c r="B43" s="138"/>
      <c r="C43" s="138"/>
      <c r="D43" s="138"/>
      <c r="E43" s="138"/>
      <c r="F43" s="30"/>
      <c r="G43" s="30"/>
      <c r="H43" s="33"/>
      <c r="I43" s="33"/>
      <c r="J43" s="33"/>
      <c r="K43" s="33"/>
      <c r="L43" s="30"/>
      <c r="M43" s="30"/>
      <c r="N43" s="32"/>
    </row>
    <row r="44" spans="1:14">
      <c r="A44" s="137" t="s">
        <v>37</v>
      </c>
      <c r="B44" s="72" t="s">
        <v>19</v>
      </c>
      <c r="C44" s="72" t="s">
        <v>43</v>
      </c>
      <c r="D44" s="72" t="s">
        <v>21</v>
      </c>
      <c r="E44" s="72" t="s">
        <v>22</v>
      </c>
      <c r="F44" s="30"/>
      <c r="G44" s="30"/>
      <c r="H44" s="33"/>
      <c r="I44" s="33"/>
      <c r="J44" s="33"/>
      <c r="K44" s="33"/>
      <c r="L44" s="30"/>
      <c r="M44" s="30"/>
      <c r="N44" s="32"/>
    </row>
    <row r="45" spans="1:14">
      <c r="A45" s="59" t="s">
        <v>38</v>
      </c>
      <c r="B45" s="50" t="e">
        <f ca="1">_xll.BDP(OFFSET(tickers_mkts!$A$1,MATCH(mercados!$A$45,tickers_mkts!$A$1:$A$47,0)-1,1),OFFSET(tickers_mkts!$A$1,MATCH(mercados!$B$44,tickers_mkts!$A$1:$A$47,0)-1,1))/100</f>
        <v>#NAME?</v>
      </c>
      <c r="C45" s="60" t="e">
        <f ca="1">_xll.BDP(OFFSET(tickers_mkts!$A$1,MATCH(mercados!$A$45,tickers_mkts!$A$1:$A$47,0)-1,1),OFFSET(tickers_mkts!$A$1,MATCH(mercados!$C$44,tickers_mkts!$A$1:$A$47,0)-1,1))/100</f>
        <v>#NAME?</v>
      </c>
      <c r="D45" s="60" t="e">
        <f ca="1">_xll.BDP(OFFSET(tickers_mkts!$A$1,MATCH(mercados!$A$45,tickers_mkts!$A$1:$A$47,0)-1,1),OFFSET(tickers_mkts!$A$1,MATCH(mercados!$D$44,tickers_mkts!$A$1:$A$47,0)-1,1))/100</f>
        <v>#NAME?</v>
      </c>
      <c r="E45" s="61" t="e">
        <f ca="1">_xll.BDP(OFFSET(tickers_mkts!$A$1,MATCH(mercados!$A$45,tickers_mkts!$A$1:$A$47,0)-1,1),OFFSET(tickers_mkts!$A$1,MATCH(mercados!$E$44,tickers_mkts!$A$1:$A$47,0)-1,1))/100</f>
        <v>#NAME?</v>
      </c>
      <c r="F45" s="30"/>
      <c r="G45" s="30"/>
      <c r="H45" s="33"/>
      <c r="I45" s="33"/>
      <c r="J45" s="33"/>
      <c r="K45" s="33"/>
      <c r="L45" s="30"/>
      <c r="M45" s="30"/>
      <c r="N45" s="32"/>
    </row>
    <row r="46" spans="1:14">
      <c r="A46" s="59" t="s">
        <v>40</v>
      </c>
      <c r="B46" s="50" t="e">
        <f ca="1">_xll.BDP(OFFSET(tickers_mkts!$A$1,MATCH(mercados!$A46,tickers_mkts!$A$1:$A$47,0)-1,1),OFFSET(tickers_mkts!$A$1,MATCH(mercados!$B$44,tickers_mkts!$A$1:$A$47,0)-1,1))</f>
        <v>#NAME?</v>
      </c>
      <c r="C46" s="60" t="e">
        <f ca="1">_xll.BDP(OFFSET(tickers_mkts!$A$1,MATCH(mercados!$A46,tickers_mkts!$A$1:$A$47,0)-1,1),OFFSET(tickers_mkts!$A$1,MATCH(mercados!$C$44,tickers_mkts!$A$1:$A$47,0)-1,1))</f>
        <v>#NAME?</v>
      </c>
      <c r="D46" s="60" t="e">
        <f ca="1">_xll.BDP(OFFSET(tickers_mkts!$A$1,MATCH(mercados!$A46,tickers_mkts!$A$1:$A$47,0)-1,1),OFFSET(tickers_mkts!$A$1,MATCH(mercados!$D$44,tickers_mkts!$A$1:$A$47,0)-1,1))</f>
        <v>#NAME?</v>
      </c>
      <c r="E46" s="61" t="e">
        <f ca="1">_xll.BDP(OFFSET(tickers_mkts!$A$1,MATCH(mercados!$A46,tickers_mkts!$A$1:$A$47,0)-1,1),OFFSET(tickers_mkts!$A$1,MATCH(mercados!$E$44,tickers_mkts!$A$1:$A$47,0)-1,1))</f>
        <v>#NAME?</v>
      </c>
      <c r="F46" s="30"/>
      <c r="G46" s="30"/>
      <c r="H46" s="33"/>
      <c r="I46" s="33"/>
      <c r="J46" s="33"/>
      <c r="K46" s="33"/>
      <c r="L46" s="30"/>
      <c r="M46" s="30"/>
      <c r="N46" s="32"/>
    </row>
    <row r="47" spans="1:14">
      <c r="A47" s="59" t="s">
        <v>42</v>
      </c>
      <c r="B47" s="50" t="e">
        <f ca="1">_xll.BDP(OFFSET(tickers_mkts!$A$1,MATCH(mercados!$A47,tickers_mkts!$A$1:$A$47,0)-1,1),OFFSET(tickers_mkts!$A$1,MATCH(mercados!$B$44,tickers_mkts!$A$1:$A$47,0)-1,1))</f>
        <v>#NAME?</v>
      </c>
      <c r="C47" s="61" t="e">
        <f ca="1">_xll.BDP(OFFSET(tickers_mkts!$A$1,MATCH(mercados!$A47,tickers_mkts!$A$1:$A$47,0)-1,1),OFFSET(tickers_mkts!$A$1,MATCH(mercados!$C$44,tickers_mkts!$A$1:$A$47,0)-1,1))</f>
        <v>#NAME?</v>
      </c>
      <c r="D47" s="61" t="e">
        <f ca="1">_xll.BDP(OFFSET(tickers_mkts!$A$1,MATCH(mercados!$A47,tickers_mkts!$A$1:$A$47,0)-1,1),OFFSET(tickers_mkts!$A$1,MATCH(mercados!$D$44,tickers_mkts!$A$1:$A$47,0)-1,1))</f>
        <v>#NAME?</v>
      </c>
      <c r="E47" s="61" t="e">
        <f ca="1">_xll.BDP(OFFSET(tickers_mkts!$A$1,MATCH(mercados!$A47,tickers_mkts!$A$1:$A$47,0)-1,1),OFFSET(tickers_mkts!$A$1,MATCH(mercados!$E$44,tickers_mkts!$A$1:$A$47,0)-1,1))</f>
        <v>#NAME?</v>
      </c>
      <c r="F47" s="30"/>
      <c r="G47" s="30"/>
      <c r="H47" s="33"/>
      <c r="I47" s="33"/>
      <c r="J47" s="33"/>
      <c r="K47" s="33"/>
      <c r="L47" s="30"/>
      <c r="M47" s="30"/>
      <c r="N47" s="32"/>
    </row>
    <row r="48" spans="1:14">
      <c r="A48" s="59" t="s">
        <v>39</v>
      </c>
      <c r="B48" s="50" t="e">
        <f ca="1">_xll.BDP(OFFSET(tickers_mkts!$A$1,MATCH(mercados!$A48,tickers_mkts!$A$1:$A$47,0)-1,1),OFFSET(tickers_mkts!$A$1,MATCH(mercados!$B$44,tickers_mkts!$A$1:$A$47,0)-1,1))</f>
        <v>#NAME?</v>
      </c>
      <c r="C48" s="60" t="e">
        <f ca="1">_xll.BDP(OFFSET(tickers_mkts!$A$1,MATCH(mercados!$A48,tickers_mkts!$A$1:$A$47,0)-1,1),OFFSET(tickers_mkts!$A$1,MATCH(mercados!$C$44,tickers_mkts!$A$1:$A$47,0)-1,1))</f>
        <v>#NAME?</v>
      </c>
      <c r="D48" s="60" t="e">
        <f ca="1">_xll.BDP(OFFSET(tickers_mkts!$A$1,MATCH(mercados!$A48,tickers_mkts!$A$1:$A$47,0)-1,1),OFFSET(tickers_mkts!$A$1,MATCH(mercados!$D$44,tickers_mkts!$A$1:$A$47,0)-1,1))</f>
        <v>#NAME?</v>
      </c>
      <c r="E48" s="61" t="e">
        <f ca="1">_xll.BDP(OFFSET(tickers_mkts!$A$1,MATCH(mercados!$A48,tickers_mkts!$A$1:$A$47,0)-1,1),OFFSET(tickers_mkts!$A$1,MATCH(mercados!$E$44,tickers_mkts!$A$1:$A$47,0)-1,1))</f>
        <v>#NAME?</v>
      </c>
      <c r="F48" s="30"/>
      <c r="G48" s="30"/>
      <c r="H48" s="33"/>
      <c r="I48" s="33"/>
      <c r="J48" s="33"/>
      <c r="K48" s="33"/>
      <c r="L48" s="30"/>
      <c r="M48" s="30"/>
      <c r="N48" s="32"/>
    </row>
    <row r="49" spans="1:14">
      <c r="A49" s="67" t="s">
        <v>41</v>
      </c>
      <c r="B49" s="68" t="e">
        <f ca="1">_xll.BDP(OFFSET(tickers_mkts!$A$1,MATCH(mercados!$A49,tickers_mkts!$A$1:$A$47,0)-1,1),OFFSET(tickers_mkts!$A$1,MATCH(mercados!$B$44,tickers_mkts!$A$1:$A$47,0)-1,1))</f>
        <v>#NAME?</v>
      </c>
      <c r="C49" s="69" t="e">
        <f ca="1">_xll.BDP(OFFSET(tickers_mkts!$A$1,MATCH(mercados!$A49,tickers_mkts!$A$1:$A$47,0)-1,1),OFFSET(tickers_mkts!$A$1,MATCH(mercados!$C$44,tickers_mkts!$A$1:$A$47,0)-1,1))</f>
        <v>#NAME?</v>
      </c>
      <c r="D49" s="69" t="e">
        <f ca="1">_xll.BDP(OFFSET(tickers_mkts!$A$1,MATCH(mercados!$A49,tickers_mkts!$A$1:$A$47,0)-1,1),OFFSET(tickers_mkts!$A$1,MATCH(mercados!$D$44,tickers_mkts!$A$1:$A$47,0)-1,1))</f>
        <v>#NAME?</v>
      </c>
      <c r="E49" s="69" t="e">
        <f ca="1">_xll.BDP(OFFSET(tickers_mkts!$A$1,MATCH(mercados!$A49,tickers_mkts!$A$1:$A$47,0)-1,1),OFFSET(tickers_mkts!$A$1,MATCH(mercados!$E$44,tickers_mkts!$A$1:$A$47,0)-1,1))</f>
        <v>#NAME?</v>
      </c>
      <c r="F49" s="37"/>
      <c r="G49" s="37"/>
      <c r="H49" s="38"/>
      <c r="I49" s="38"/>
      <c r="J49" s="38"/>
      <c r="K49" s="38"/>
      <c r="L49" s="37"/>
      <c r="M49" s="37"/>
      <c r="N49" s="39"/>
    </row>
    <row r="50" spans="1:14">
      <c r="C50" s="22"/>
      <c r="E50" s="22"/>
    </row>
    <row r="51" spans="1:14">
      <c r="C51" s="22"/>
      <c r="E51" s="22"/>
    </row>
    <row r="52" spans="1:14">
      <c r="C52" s="22"/>
      <c r="E52" s="22"/>
    </row>
  </sheetData>
  <mergeCells count="1">
    <mergeCell ref="B1:F2"/>
  </mergeCells>
  <conditionalFormatting sqref="C5:E11 C13:E17 C20:E30 C45:E49">
    <cfRule type="cellIs" dxfId="4" priority="3" operator="lessThan">
      <formula>0</formula>
    </cfRule>
    <cfRule type="cellIs" dxfId="3" priority="4" operator="greaterThan">
      <formula>0</formula>
    </cfRule>
  </conditionalFormatting>
  <conditionalFormatting sqref="C33:D40 C12:E12">
    <cfRule type="cellIs" dxfId="2" priority="1" operator="lessThan">
      <formula>0</formula>
    </cfRule>
    <cfRule type="cellIs" dxfId="1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loomberg_updte">
                <anchor moveWithCells="1" sizeWithCells="1">
                  <from>
                    <xdr:col>6</xdr:col>
                    <xdr:colOff>353786</xdr:colOff>
                    <xdr:row>0</xdr:row>
                    <xdr:rowOff>103414</xdr:rowOff>
                  </from>
                  <to>
                    <xdr:col>6</xdr:col>
                    <xdr:colOff>1475014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kts_info">
                <anchor moveWithCells="1" sizeWithCells="1">
                  <from>
                    <xdr:col>7</xdr:col>
                    <xdr:colOff>0</xdr:colOff>
                    <xdr:row>0</xdr:row>
                    <xdr:rowOff>103414</xdr:rowOff>
                  </from>
                  <to>
                    <xdr:col>9</xdr:col>
                    <xdr:colOff>103414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2">
    <tabColor rgb="FF0594B9"/>
    <pageSetUpPr fitToPage="1"/>
  </sheetPr>
  <dimension ref="A1:P38"/>
  <sheetViews>
    <sheetView zoomScaleNormal="100" workbookViewId="0">
      <pane ySplit="5" topLeftCell="A15" activePane="bottomLeft" state="frozen"/>
      <selection pane="bottomLeft" activeCell="K25" sqref="K25"/>
    </sheetView>
  </sheetViews>
  <sheetFormatPr defaultColWidth="11.4609375" defaultRowHeight="14.6"/>
  <cols>
    <col min="1" max="1" width="19.84375" style="1" bestFit="1" customWidth="1"/>
    <col min="2" max="2" width="10.61328125" style="5" bestFit="1" customWidth="1"/>
    <col min="3" max="3" width="14.4609375" style="5" bestFit="1" customWidth="1"/>
    <col min="4" max="4" width="7.15234375" style="1" customWidth="1"/>
    <col min="5" max="5" width="6.15234375" style="1" customWidth="1"/>
    <col min="6" max="6" width="13.4609375" style="1" bestFit="1" customWidth="1"/>
    <col min="7" max="7" width="11.4609375" style="1" bestFit="1" customWidth="1"/>
    <col min="8" max="8" width="5.3828125" style="1" bestFit="1" customWidth="1"/>
    <col min="9" max="9" width="8.61328125" style="1" bestFit="1" customWidth="1"/>
    <col min="10" max="10" width="9.4609375" style="1" bestFit="1" customWidth="1"/>
    <col min="11" max="11" width="10" style="1" bestFit="1" customWidth="1"/>
    <col min="12" max="12" width="8.84375" style="1" bestFit="1" customWidth="1"/>
    <col min="13" max="13" width="9.61328125" style="1" bestFit="1" customWidth="1"/>
    <col min="14" max="14" width="11" style="1" bestFit="1" customWidth="1"/>
    <col min="15" max="15" width="8.4609375" style="1" bestFit="1" customWidth="1"/>
    <col min="16" max="16384" width="11.4609375" style="1"/>
  </cols>
  <sheetData>
    <row r="1" spans="1:16" ht="15" customHeight="1">
      <c r="A1" s="26"/>
      <c r="B1" s="40"/>
      <c r="C1" s="321" t="s">
        <v>101</v>
      </c>
      <c r="D1" s="321"/>
      <c r="E1" s="321"/>
      <c r="F1" s="321"/>
      <c r="G1" s="321"/>
      <c r="H1" s="321"/>
      <c r="I1" s="41"/>
      <c r="J1" s="27"/>
      <c r="K1" s="27"/>
      <c r="L1" s="27"/>
      <c r="M1" s="27"/>
      <c r="N1" s="27"/>
      <c r="O1" s="28"/>
    </row>
    <row r="2" spans="1:16" ht="15" customHeight="1">
      <c r="A2" s="29"/>
      <c r="B2" s="33"/>
      <c r="C2" s="322"/>
      <c r="D2" s="322"/>
      <c r="E2" s="322"/>
      <c r="F2" s="322"/>
      <c r="G2" s="322"/>
      <c r="H2" s="322"/>
      <c r="I2" s="42"/>
      <c r="J2" s="30"/>
      <c r="K2" s="30"/>
      <c r="L2" s="30"/>
      <c r="M2" s="30"/>
      <c r="N2" s="30"/>
      <c r="O2" s="32"/>
    </row>
    <row r="3" spans="1:16">
      <c r="A3" s="29"/>
      <c r="B3" s="33"/>
      <c r="C3" s="33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2"/>
    </row>
    <row r="4" spans="1:16">
      <c r="A4" s="323" t="s">
        <v>102</v>
      </c>
      <c r="B4" s="324"/>
      <c r="C4" s="324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2"/>
    </row>
    <row r="5" spans="1:16">
      <c r="A5" s="43" t="s">
        <v>65</v>
      </c>
      <c r="B5" s="34" t="s">
        <v>152</v>
      </c>
      <c r="C5" s="34" t="s">
        <v>106</v>
      </c>
      <c r="D5" s="34" t="s">
        <v>108</v>
      </c>
      <c r="E5" s="34" t="s">
        <v>400</v>
      </c>
      <c r="F5" s="34" t="s">
        <v>391</v>
      </c>
      <c r="G5" s="34" t="s">
        <v>392</v>
      </c>
      <c r="H5" s="34" t="s">
        <v>376</v>
      </c>
      <c r="I5" s="34" t="s">
        <v>390</v>
      </c>
      <c r="J5" s="34" t="s">
        <v>377</v>
      </c>
      <c r="K5" s="34" t="s">
        <v>111</v>
      </c>
      <c r="L5" s="34" t="s">
        <v>114</v>
      </c>
      <c r="M5" s="34" t="s">
        <v>378</v>
      </c>
      <c r="N5" s="34" t="s">
        <v>302</v>
      </c>
      <c r="O5" s="44" t="s">
        <v>115</v>
      </c>
    </row>
    <row r="6" spans="1:16">
      <c r="A6" s="45" t="s">
        <v>116</v>
      </c>
      <c r="B6" s="46" t="str">
        <f ca="1">+OFFSET(bd_bonos!$A$1,MATCH(portafolio!$A6,bd_bonos!$A$1:'bd_bonos'!$A$28,0)-1,11)</f>
        <v>12/08/2020</v>
      </c>
      <c r="C6" s="33" t="str">
        <f ca="1">+OFFSET(bd_bonos!$A$1,MATCH(portafolio!$A6,bd_bonos!$A$1:'bd_bonos'!$A$28,0)-1,1)</f>
        <v>PEP01000CY33</v>
      </c>
      <c r="D6" s="47">
        <f ca="1">+OFFSET(bd_bonos!$A$1,MATCH(portafolio!$A6,bd_bonos!$A$1:'bd_bonos'!$A$28,0)-1,4)</f>
        <v>7.84</v>
      </c>
      <c r="E6" s="33" t="str">
        <f ca="1">+OFFSET(bd_bonos!$A$1,MATCH(portafolio!$A6,bd_bonos!$A$1:'bd_bonos'!$A$28,0)-1,12)</f>
        <v>PEN</v>
      </c>
      <c r="F6" s="48">
        <f ca="1">+OFFSET(bd_bonos!$A$1,MATCH(portafolio!$A6,bd_bonos!$A$1:'bd_bonos'!$A$28,0)-1,32)/1000000</f>
        <v>1573.5920000000001</v>
      </c>
      <c r="G6" s="48">
        <f ca="1">+OFFSET(bd_bonos!$A$1,MATCH(portafolio!$A6,bd_bonos!$A$1:'bd_bonos'!$A$28,0)-1,33)/1000000</f>
        <v>1573.5920000000001</v>
      </c>
      <c r="H6" s="33">
        <f ca="1">+OFFSET(bd_bonos!$A$1,MATCH(portafolio!$A6,bd_bonos!$A$1:'bd_bonos'!$A$28,0)-1,6)</f>
        <v>2</v>
      </c>
      <c r="I6" s="33" t="str">
        <f ca="1">+OFFSET(bd_bonos!$A$1,MATCH(portafolio!$A6,bd_bonos!$A$1:'bd_bonos'!$A$28,0)-1,9)</f>
        <v>ACT/360</v>
      </c>
      <c r="J6" s="49">
        <f ca="1">+OFFSET(bd_bonos!$A$1,MATCH(portafolio!$A6,bd_bonos!$A$1:'bd_bonos'!$A$28,0)-1,21)</f>
        <v>3.1716000000000002</v>
      </c>
      <c r="K6" s="49">
        <f ca="1">+OFFSET(bd_bonos!$A$1,MATCH(portafolio!$A6,bd_bonos!$A$1:'bd_bonos'!$A$28,0)-1,20)</f>
        <v>107.078</v>
      </c>
      <c r="L6" s="50">
        <f ca="1">+OFFSET(bd_bonos!$A$1,MATCH(portafolio!$A6,bd_bonos!$A$1:'bd_bonos'!$A$28,0)-1,25)</f>
        <v>1.4878207766747635</v>
      </c>
      <c r="M6" s="50">
        <f ca="1">+OFFSET(bd_bonos!$A$1,MATCH(portafolio!$A6,bd_bonos!$A$1:'bd_bonos'!$A$28,0)-1,29)</f>
        <v>1.442098915746358</v>
      </c>
      <c r="N6" s="51">
        <f ca="1">+(B6-resumen!$B$6)/365</f>
        <v>-1.4767123287671233</v>
      </c>
      <c r="O6" s="52">
        <f ca="1">+OFFSET(bd_bonos!$A$1,MATCH(portafolio!$A6,bd_bonos!$A$1:'bd_bonos'!$A$28,0)-1,34)</f>
        <v>3.344782608695652</v>
      </c>
      <c r="P6" s="10"/>
    </row>
    <row r="7" spans="1:16">
      <c r="A7" s="45" t="s">
        <v>117</v>
      </c>
      <c r="B7" s="46" t="str">
        <f ca="1">+OFFSET(bd_bonos!$A$1,MATCH(portafolio!$A7,bd_bonos!$A$1:'bd_bonos'!$A$28,0)-1,11)</f>
        <v>12/09/2023</v>
      </c>
      <c r="C7" s="33" t="str">
        <f ca="1">+OFFSET(bd_bonos!$A$1,MATCH(portafolio!$A7,bd_bonos!$A$1:'bd_bonos'!$A$28,0)-1,1)</f>
        <v>PEP01000C4N3</v>
      </c>
      <c r="D7" s="47">
        <f ca="1">+OFFSET(bd_bonos!$A$1,MATCH(portafolio!$A7,bd_bonos!$A$1:'bd_bonos'!$A$28,0)-1,4)</f>
        <v>5.2</v>
      </c>
      <c r="E7" s="33" t="str">
        <f ca="1">+OFFSET(bd_bonos!$A$1,MATCH(portafolio!$A7,bd_bonos!$A$1:'bd_bonos'!$A$28,0)-1,12)</f>
        <v>PEN</v>
      </c>
      <c r="F7" s="48">
        <f ca="1">+OFFSET(bd_bonos!$A$1,MATCH(portafolio!$A7,bd_bonos!$A$1:'bd_bonos'!$A$28,0)-1,32)/1000000</f>
        <v>5738.5039999999999</v>
      </c>
      <c r="G7" s="48">
        <f ca="1">+OFFSET(bd_bonos!$A$1,MATCH(portafolio!$A7,bd_bonos!$A$1:'bd_bonos'!$A$28,0)-1,33)/1000000</f>
        <v>5886.5039999999999</v>
      </c>
      <c r="H7" s="33">
        <f ca="1">+OFFSET(bd_bonos!$A$1,MATCH(portafolio!$A7,bd_bonos!$A$1:'bd_bonos'!$A$28,0)-1,6)</f>
        <v>2</v>
      </c>
      <c r="I7" s="33" t="str">
        <f ca="1">+OFFSET(bd_bonos!$A$1,MATCH(portafolio!$A7,bd_bonos!$A$1:'bd_bonos'!$A$28,0)-1,9)</f>
        <v>ACT/360</v>
      </c>
      <c r="J7" s="49">
        <f ca="1">+OFFSET(bd_bonos!$A$1,MATCH(portafolio!$A7,bd_bonos!$A$1:'bd_bonos'!$A$28,0)-1,21)</f>
        <v>4.6570999999999998</v>
      </c>
      <c r="K7" s="49">
        <f ca="1">+OFFSET(bd_bonos!$A$1,MATCH(portafolio!$A7,bd_bonos!$A$1:'bd_bonos'!$A$28,0)-1,20)</f>
        <v>102.16800000000001</v>
      </c>
      <c r="L7" s="50">
        <f ca="1">+OFFSET(bd_bonos!$A$1,MATCH(portafolio!$A7,bd_bonos!$A$1:'bd_bonos'!$A$28,0)-1,25)</f>
        <v>4.1881275449366635</v>
      </c>
      <c r="M7" s="50">
        <f ca="1">+OFFSET(bd_bonos!$A$1,MATCH(portafolio!$A7,bd_bonos!$A$1:'bd_bonos'!$A$28,0)-1,29)</f>
        <v>4.0019638075836603</v>
      </c>
      <c r="N7" s="51">
        <f ca="1">+(B7-resumen!$B$6)/365</f>
        <v>1.6082191780821917</v>
      </c>
      <c r="O7" s="52">
        <f ca="1">+OFFSET(bd_bonos!$A$1,MATCH(portafolio!$A7,bd_bonos!$A$1:'bd_bonos'!$A$28,0)-1,34)</f>
        <v>1.8099447513812155</v>
      </c>
    </row>
    <row r="8" spans="1:16">
      <c r="A8" s="45" t="s">
        <v>118</v>
      </c>
      <c r="B8" s="46" t="str">
        <f ca="1">+OFFSET(bd_bonos!$A$1,MATCH(portafolio!$A8,bd_bonos!$A$1:'bd_bonos'!$A$28,0)-1,11)</f>
        <v>12/08/2024</v>
      </c>
      <c r="C8" s="33" t="str">
        <f ca="1">+OFFSET(bd_bonos!$A$1,MATCH(portafolio!$A8,bd_bonos!$A$1:'bd_bonos'!$A$28,0)-1,1)</f>
        <v>PEP01000C4W4</v>
      </c>
      <c r="D8" s="47">
        <f ca="1">+OFFSET(bd_bonos!$A$1,MATCH(portafolio!$A8,bd_bonos!$A$1:'bd_bonos'!$A$28,0)-1,4)</f>
        <v>5.7</v>
      </c>
      <c r="E8" s="33" t="str">
        <f ca="1">+OFFSET(bd_bonos!$A$1,MATCH(portafolio!$A8,bd_bonos!$A$1:'bd_bonos'!$A$28,0)-1,12)</f>
        <v>PEN</v>
      </c>
      <c r="F8" s="48">
        <f ca="1">+OFFSET(bd_bonos!$A$1,MATCH(portafolio!$A8,bd_bonos!$A$1:'bd_bonos'!$A$28,0)-1,32)/1000000</f>
        <v>11030.647999999999</v>
      </c>
      <c r="G8" s="48">
        <f ca="1">+OFFSET(bd_bonos!$A$1,MATCH(portafolio!$A8,bd_bonos!$A$1:'bd_bonos'!$A$28,0)-1,33)/1000000</f>
        <v>11278.348</v>
      </c>
      <c r="H8" s="33">
        <f ca="1">+OFFSET(bd_bonos!$A$1,MATCH(portafolio!$A8,bd_bonos!$A$1:'bd_bonos'!$A$28,0)-1,6)</f>
        <v>2</v>
      </c>
      <c r="I8" s="33" t="str">
        <f ca="1">+OFFSET(bd_bonos!$A$1,MATCH(portafolio!$A8,bd_bonos!$A$1:'bd_bonos'!$A$28,0)-1,9)</f>
        <v>ACT/360</v>
      </c>
      <c r="J8" s="49">
        <f ca="1">+OFFSET(bd_bonos!$A$1,MATCH(portafolio!$A8,bd_bonos!$A$1:'bd_bonos'!$A$28,0)-1,21)</f>
        <v>4.9160000000000004</v>
      </c>
      <c r="K8" s="49">
        <f ca="1">+OFFSET(bd_bonos!$A$1,MATCH(portafolio!$A8,bd_bonos!$A$1:'bd_bonos'!$A$28,0)-1,20)</f>
        <v>103.72300000000001</v>
      </c>
      <c r="L8" s="50">
        <f ca="1">+OFFSET(bd_bonos!$A$1,MATCH(portafolio!$A8,bd_bonos!$A$1:'bd_bonos'!$A$28,0)-1,25)</f>
        <v>4.825073546214715</v>
      </c>
      <c r="M8" s="50">
        <f ca="1">+OFFSET(bd_bonos!$A$1,MATCH(portafolio!$A8,bd_bonos!$A$1:'bd_bonos'!$A$28,0)-1,29)</f>
        <v>4.5992380424901205</v>
      </c>
      <c r="N8" s="51">
        <f ca="1">+(B8-resumen!$B$6)/365</f>
        <v>2.526027397260274</v>
      </c>
      <c r="O8" s="52">
        <f ca="1">+OFFSET(bd_bonos!$A$1,MATCH(portafolio!$A8,bd_bonos!$A$1:'bd_bonos'!$A$28,0)-1,34)</f>
        <v>2.4317934782608699</v>
      </c>
    </row>
    <row r="9" spans="1:16">
      <c r="A9" s="45" t="s">
        <v>119</v>
      </c>
      <c r="B9" s="46" t="str">
        <f ca="1">+OFFSET(bd_bonos!$A$1,MATCH(portafolio!$A9,bd_bonos!$A$1:'bd_bonos'!$A$28,0)-1,11)</f>
        <v>12/08/2026</v>
      </c>
      <c r="C9" s="33" t="str">
        <f ca="1">+OFFSET(bd_bonos!$A$1,MATCH(portafolio!$A9,bd_bonos!$A$1:'bd_bonos'!$A$28,0)-1,1)</f>
        <v>PEP01000C0J9</v>
      </c>
      <c r="D9" s="47">
        <f ca="1">+OFFSET(bd_bonos!$A$1,MATCH(portafolio!$A9,bd_bonos!$A$1:'bd_bonos'!$A$28,0)-1,4)</f>
        <v>8.1999999999999993</v>
      </c>
      <c r="E9" s="33" t="str">
        <f ca="1">+OFFSET(bd_bonos!$A$1,MATCH(portafolio!$A9,bd_bonos!$A$1:'bd_bonos'!$A$28,0)-1,12)</f>
        <v>PEN</v>
      </c>
      <c r="F9" s="48">
        <f ca="1">+OFFSET(bd_bonos!$A$1,MATCH(portafolio!$A9,bd_bonos!$A$1:'bd_bonos'!$A$28,0)-1,32)/1000000</f>
        <v>12515.34</v>
      </c>
      <c r="G9" s="48">
        <f ca="1">+OFFSET(bd_bonos!$A$1,MATCH(portafolio!$A9,bd_bonos!$A$1:'bd_bonos'!$A$28,0)-1,33)/1000000</f>
        <v>12515.34</v>
      </c>
      <c r="H9" s="33">
        <f ca="1">+OFFSET(bd_bonos!$A$1,MATCH(portafolio!$A9,bd_bonos!$A$1:'bd_bonos'!$A$28,0)-1,6)</f>
        <v>2</v>
      </c>
      <c r="I9" s="33" t="str">
        <f ca="1">+OFFSET(bd_bonos!$A$1,MATCH(portafolio!$A9,bd_bonos!$A$1:'bd_bonos'!$A$28,0)-1,9)</f>
        <v>ACT/360</v>
      </c>
      <c r="J9" s="49">
        <f ca="1">+OFFSET(bd_bonos!$A$1,MATCH(portafolio!$A9,bd_bonos!$A$1:'bd_bonos'!$A$28,0)-1,21)</f>
        <v>5.2694000000000001</v>
      </c>
      <c r="K9" s="49">
        <f ca="1">+OFFSET(bd_bonos!$A$1,MATCH(portafolio!$A9,bd_bonos!$A$1:'bd_bonos'!$A$28,0)-1,20)</f>
        <v>118.0515</v>
      </c>
      <c r="L9" s="50">
        <f ca="1">+OFFSET(bd_bonos!$A$1,MATCH(portafolio!$A9,bd_bonos!$A$1:'bd_bonos'!$A$28,0)-1,25)</f>
        <v>5.8612454146524966</v>
      </c>
      <c r="M9" s="50">
        <f ca="1">+OFFSET(bd_bonos!$A$1,MATCH(portafolio!$A9,bd_bonos!$A$1:'bd_bonos'!$A$28,0)-1,29)</f>
        <v>5.5686574745476145</v>
      </c>
      <c r="N9" s="51">
        <f ca="1">+(B9-resumen!$B$6)/365</f>
        <v>4.5260273972602736</v>
      </c>
      <c r="O9" s="52">
        <f ca="1">+OFFSET(bd_bonos!$A$1,MATCH(portafolio!$A9,bd_bonos!$A$1:'bd_bonos'!$A$28,0)-1,34)</f>
        <v>3.498369565217391</v>
      </c>
    </row>
    <row r="10" spans="1:16">
      <c r="A10" s="45" t="s">
        <v>120</v>
      </c>
      <c r="B10" s="46" t="str">
        <f ca="1">+OFFSET(bd_bonos!$A$1,MATCH(portafolio!$A10,bd_bonos!$A$1:'bd_bonos'!$A$28,0)-1,11)</f>
        <v>12/08/2028</v>
      </c>
      <c r="C10" s="33" t="str">
        <f ca="1">+OFFSET(bd_bonos!$A$1,MATCH(portafolio!$A10,bd_bonos!$A$1:'bd_bonos'!$A$28,0)-1,1)</f>
        <v>PEP01000C5D1</v>
      </c>
      <c r="D10" s="47">
        <f ca="1">+OFFSET(bd_bonos!$A$1,MATCH(portafolio!$A10,bd_bonos!$A$1:'bd_bonos'!$A$28,0)-1,4)</f>
        <v>6.35</v>
      </c>
      <c r="E10" s="33" t="str">
        <f ca="1">+OFFSET(bd_bonos!$A$1,MATCH(portafolio!$A10,bd_bonos!$A$1:'bd_bonos'!$A$28,0)-1,12)</f>
        <v>PEN</v>
      </c>
      <c r="F10" s="48">
        <f ca="1">+OFFSET(bd_bonos!$A$1,MATCH(portafolio!$A10,bd_bonos!$A$1:'bd_bonos'!$A$28,0)-1,32)/1000000</f>
        <v>14246.16</v>
      </c>
      <c r="G10" s="48">
        <f ca="1">+OFFSET(bd_bonos!$A$1,MATCH(portafolio!$A10,bd_bonos!$A$1:'bd_bonos'!$A$28,0)-1,33)/1000000</f>
        <v>14471.16</v>
      </c>
      <c r="H10" s="33">
        <f ca="1">+OFFSET(bd_bonos!$A$1,MATCH(portafolio!$A10,bd_bonos!$A$1:'bd_bonos'!$A$28,0)-1,6)</f>
        <v>2</v>
      </c>
      <c r="I10" s="33" t="str">
        <f ca="1">+OFFSET(bd_bonos!$A$1,MATCH(portafolio!$A10,bd_bonos!$A$1:'bd_bonos'!$A$28,0)-1,9)</f>
        <v>ACT/360</v>
      </c>
      <c r="J10" s="49">
        <f ca="1">+OFFSET(bd_bonos!$A$1,MATCH(portafolio!$A10,bd_bonos!$A$1:'bd_bonos'!$A$28,0)-1,21)</f>
        <v>5.5616168594658344</v>
      </c>
      <c r="K10" s="49">
        <f ca="1">+OFFSET(bd_bonos!$A$1,MATCH(portafolio!$A10,bd_bonos!$A$1:'bd_bonos'!$A$28,0)-1,20)</f>
        <v>105.75</v>
      </c>
      <c r="L10" s="50">
        <f ca="1">+OFFSET(bd_bonos!$A$1,MATCH(portafolio!$A10,bd_bonos!$A$1:'bd_bonos'!$A$28,0)-1,25)</f>
        <v>7.3082988286492627</v>
      </c>
      <c r="M10" s="50">
        <f ca="1">+OFFSET(bd_bonos!$A$1,MATCH(portafolio!$A10,bd_bonos!$A$1:'bd_bonos'!$A$28,0)-1,29)</f>
        <v>6.9243974567774575</v>
      </c>
      <c r="N10" s="51">
        <f ca="1">+(B10-resumen!$B$6)/365</f>
        <v>6.5287671232876709</v>
      </c>
      <c r="O10" s="52">
        <f ca="1">+OFFSET(bd_bonos!$A$1,MATCH(portafolio!$A10,bd_bonos!$A$1:'bd_bonos'!$A$28,0)-1,34)</f>
        <v>2.7091032608695653</v>
      </c>
    </row>
    <row r="11" spans="1:16">
      <c r="A11" s="45" t="s">
        <v>121</v>
      </c>
      <c r="B11" s="46" t="str">
        <f ca="1">+OFFSET(bd_bonos!$A$1,MATCH(portafolio!$A11,bd_bonos!$A$1:'bd_bonos'!$A$28,0)-1,11)</f>
        <v>12/02/2029</v>
      </c>
      <c r="C11" s="33" t="str">
        <f ca="1">+OFFSET(bd_bonos!$A$1,MATCH(portafolio!$A11,bd_bonos!$A$1:'bd_bonos'!$A$28,0)-1,1)</f>
        <v>PEP01000C4Q6</v>
      </c>
      <c r="D11" s="47">
        <f ca="1">+OFFSET(bd_bonos!$A$1,MATCH(portafolio!$A11,bd_bonos!$A$1:'bd_bonos'!$A$28,0)-1,4)</f>
        <v>6</v>
      </c>
      <c r="E11" s="33" t="str">
        <f ca="1">+OFFSET(bd_bonos!$A$1,MATCH(portafolio!$A11,bd_bonos!$A$1:'bd_bonos'!$A$28,0)-1,12)</f>
        <v>PEN</v>
      </c>
      <c r="F11" s="48">
        <f ca="1">+OFFSET(bd_bonos!$A$1,MATCH(portafolio!$A11,bd_bonos!$A$1:'bd_bonos'!$A$28,0)-1,32)/1000000</f>
        <v>1644.8230000000001</v>
      </c>
      <c r="G11" s="48">
        <f ca="1">+OFFSET(bd_bonos!$A$1,MATCH(portafolio!$A11,bd_bonos!$A$1:'bd_bonos'!$A$28,0)-1,33)/1000000</f>
        <v>165.26400000000001</v>
      </c>
      <c r="H11" s="33">
        <f ca="1">+OFFSET(bd_bonos!$A$1,MATCH(portafolio!$A11,bd_bonos!$A$1:'bd_bonos'!$A$28,0)-1,6)</f>
        <v>2</v>
      </c>
      <c r="I11" s="33" t="str">
        <f ca="1">+OFFSET(bd_bonos!$A$1,MATCH(portafolio!$A11,bd_bonos!$A$1:'bd_bonos'!$A$28,0)-1,9)</f>
        <v>ACT/360</v>
      </c>
      <c r="J11" s="49">
        <f ca="1">+OFFSET(bd_bonos!$A$1,MATCH(portafolio!$A11,bd_bonos!$A$1:'bd_bonos'!$A$28,0)-1,21)</f>
        <v>5.5750999999999999</v>
      </c>
      <c r="K11" s="49">
        <f ca="1">+OFFSET(bd_bonos!$A$1,MATCH(portafolio!$A11,bd_bonos!$A$1:'bd_bonos'!$A$28,0)-1,20)</f>
        <v>103.188</v>
      </c>
      <c r="L11" s="50">
        <f ca="1">+OFFSET(bd_bonos!$A$1,MATCH(portafolio!$A11,bd_bonos!$A$1:'bd_bonos'!$A$28,0)-1,25)</f>
        <v>7.6669734521416935</v>
      </c>
      <c r="M11" s="50">
        <f ca="1">+OFFSET(bd_bonos!$A$1,MATCH(portafolio!$A11,bd_bonos!$A$1:'bd_bonos'!$A$28,0)-1,29)</f>
        <v>7.2653948296351887</v>
      </c>
      <c r="N11" s="51">
        <f ca="1">+(B11-resumen!$B$6)/365</f>
        <v>7.0328767123287674</v>
      </c>
      <c r="O11" s="52">
        <f ca="1">+OFFSET(bd_bonos!$A$1,MATCH(portafolio!$A11,bd_bonos!$A$1:'bd_bonos'!$A$28,0)-1,34)</f>
        <v>2.5597826086956523</v>
      </c>
    </row>
    <row r="12" spans="1:16">
      <c r="A12" s="45" t="s">
        <v>127</v>
      </c>
      <c r="B12" s="46" t="str">
        <f ca="1">+OFFSET(bd_bonos!$A$1,MATCH(portafolio!$A12,bd_bonos!$A$1:'bd_bonos'!$A$28,0)-1,11)</f>
        <v>12/02/2029</v>
      </c>
      <c r="C12" s="33" t="str">
        <f ca="1">+OFFSET(bd_bonos!$A$1,MATCH(portafolio!$A12,bd_bonos!$A$1:'bd_bonos'!$A$28,0)-1,1)</f>
        <v>PEP01000C5F6</v>
      </c>
      <c r="D12" s="47">
        <f ca="1">+OFFSET(bd_bonos!$A$1,MATCH(portafolio!$A12,bd_bonos!$A$1:'bd_bonos'!$A$28,0)-1,4)</f>
        <v>5.94</v>
      </c>
      <c r="E12" s="33" t="str">
        <f ca="1">+OFFSET(bd_bonos!$A$1,MATCH(portafolio!$A12,bd_bonos!$A$1:'bd_bonos'!$A$28,0)-1,12)</f>
        <v>PEN</v>
      </c>
      <c r="F12" s="48">
        <f ca="1">+OFFSET(bd_bonos!$A$1,MATCH(portafolio!$A12,bd_bonos!$A$1:'bd_bonos'!$A$28,0)-1,32)/1000000</f>
        <v>10350</v>
      </c>
      <c r="G12" s="48">
        <f ca="1">+OFFSET(bd_bonos!$A$1,MATCH(portafolio!$A12,bd_bonos!$A$1:'bd_bonos'!$A$28,0)-1,33)/1000000</f>
        <v>12025</v>
      </c>
      <c r="H12" s="33">
        <f ca="1">+OFFSET(bd_bonos!$A$1,MATCH(portafolio!$A12,bd_bonos!$A$1:'bd_bonos'!$A$28,0)-1,6)</f>
        <v>2</v>
      </c>
      <c r="I12" s="33" t="str">
        <f ca="1">+OFFSET(bd_bonos!$A$1,MATCH(portafolio!$A12,bd_bonos!$A$1:'bd_bonos'!$A$28,0)-1,9)</f>
        <v>ACT/360</v>
      </c>
      <c r="J12" s="49">
        <f ca="1">+OFFSET(bd_bonos!$A$1,MATCH(portafolio!$A12,bd_bonos!$A$1:'bd_bonos'!$A$28,0)-1,21)</f>
        <v>5.5905082689072128</v>
      </c>
      <c r="K12" s="49">
        <f ca="1">+OFFSET(bd_bonos!$A$1,MATCH(portafolio!$A12,bd_bonos!$A$1:'bd_bonos'!$A$28,0)-1,20)</f>
        <v>102.61699999999999</v>
      </c>
      <c r="L12" s="50">
        <f ca="1">+OFFSET(bd_bonos!$A$1,MATCH(portafolio!$A12,bd_bonos!$A$1:'bd_bonos'!$A$28,0)-1,25)</f>
        <v>7.819311380344006</v>
      </c>
      <c r="M12" s="50">
        <f ca="1">+OFFSET(bd_bonos!$A$1,MATCH(portafolio!$A12,bd_bonos!$A$1:'bd_bonos'!$A$28,0)-1,29)</f>
        <v>7.406567434033537</v>
      </c>
      <c r="N12" s="51">
        <f ca="1">+(B12-resumen!$B$6)/365</f>
        <v>7.0328767123287674</v>
      </c>
      <c r="O12" s="52">
        <f ca="1">+OFFSET(bd_bonos!$A$1,MATCH(portafolio!$A12,bd_bonos!$A$1:'bd_bonos'!$A$28,0)-1,34)</f>
        <v>0.65660294117647056</v>
      </c>
    </row>
    <row r="13" spans="1:16">
      <c r="A13" s="45" t="s">
        <v>122</v>
      </c>
      <c r="B13" s="46" t="str">
        <f ca="1">+OFFSET(bd_bonos!$A$1,MATCH(portafolio!$A13,bd_bonos!$A$1:'bd_bonos'!$A$28,0)-1,11)</f>
        <v>12/08/2031</v>
      </c>
      <c r="C13" s="33" t="str">
        <f ca="1">+OFFSET(bd_bonos!$A$1,MATCH(portafolio!$A13,bd_bonos!$A$1:'bd_bonos'!$A$28,0)-1,1)</f>
        <v>PEP01000C4G7</v>
      </c>
      <c r="D13" s="47">
        <f ca="1">+OFFSET(bd_bonos!$A$1,MATCH(portafolio!$A13,bd_bonos!$A$1:'bd_bonos'!$A$28,0)-1,4)</f>
        <v>6.95</v>
      </c>
      <c r="E13" s="33" t="str">
        <f ca="1">+OFFSET(bd_bonos!$A$1,MATCH(portafolio!$A13,bd_bonos!$A$1:'bd_bonos'!$A$28,0)-1,12)</f>
        <v>PEN</v>
      </c>
      <c r="F13" s="48">
        <f ca="1">+OFFSET(bd_bonos!$A$1,MATCH(portafolio!$A13,bd_bonos!$A$1:'bd_bonos'!$A$28,0)-1,32)/1000000</f>
        <v>14123.244000000001</v>
      </c>
      <c r="G13" s="48">
        <f ca="1">+OFFSET(bd_bonos!$A$1,MATCH(portafolio!$A13,bd_bonos!$A$1:'bd_bonos'!$A$28,0)-1,33)/1000000</f>
        <v>14292.244000000001</v>
      </c>
      <c r="H13" s="33">
        <f ca="1">+OFFSET(bd_bonos!$A$1,MATCH(portafolio!$A13,bd_bonos!$A$1:'bd_bonos'!$A$28,0)-1,6)</f>
        <v>2</v>
      </c>
      <c r="I13" s="33" t="str">
        <f ca="1">+OFFSET(bd_bonos!$A$1,MATCH(portafolio!$A13,bd_bonos!$A$1:'bd_bonos'!$A$28,0)-1,9)</f>
        <v>ACT/360</v>
      </c>
      <c r="J13" s="49">
        <f ca="1">+OFFSET(bd_bonos!$A$1,MATCH(portafolio!$A13,bd_bonos!$A$1:'bd_bonos'!$A$28,0)-1,21)</f>
        <v>5.8547000000000002</v>
      </c>
      <c r="K13" s="49">
        <f ca="1">+OFFSET(bd_bonos!$A$1,MATCH(portafolio!$A13,bd_bonos!$A$1:'bd_bonos'!$A$28,0)-1,20)</f>
        <v>109.64100000000001</v>
      </c>
      <c r="L13" s="50">
        <f ca="1">+OFFSET(bd_bonos!$A$1,MATCH(portafolio!$A13,bd_bonos!$A$1:'bd_bonos'!$A$28,0)-1,25)</f>
        <v>8.6715546033194144</v>
      </c>
      <c r="M13" s="50">
        <f ca="1">+OFFSET(bd_bonos!$A$1,MATCH(portafolio!$A13,bd_bonos!$A$1:'bd_bonos'!$A$28,0)-1,29)</f>
        <v>8.1940715806128335</v>
      </c>
      <c r="N13" s="51">
        <f ca="1">+(B13-resumen!$B$6)/365</f>
        <v>9.5287671232876718</v>
      </c>
      <c r="O13" s="52">
        <f ca="1">+OFFSET(bd_bonos!$A$1,MATCH(portafolio!$A13,bd_bonos!$A$1:'bd_bonos'!$A$28,0)-1,34)</f>
        <v>2.9650815217391306</v>
      </c>
    </row>
    <row r="14" spans="1:16">
      <c r="A14" s="45" t="s">
        <v>123</v>
      </c>
      <c r="B14" s="46" t="str">
        <f ca="1">+OFFSET(bd_bonos!$A$1,MATCH(portafolio!$A14,bd_bonos!$A$1:'bd_bonos'!$A$28,0)-1,11)</f>
        <v>12/08/2032</v>
      </c>
      <c r="C14" s="33" t="str">
        <f ca="1">+OFFSET(bd_bonos!$A$1,MATCH(portafolio!$A14,bd_bonos!$A$1:'bd_bonos'!$A$28,0)-1,1)</f>
        <v>PEP01000C5E9</v>
      </c>
      <c r="D14" s="47">
        <f ca="1">+OFFSET(bd_bonos!$A$1,MATCH(portafolio!$A14,bd_bonos!$A$1:'bd_bonos'!$A$28,0)-1,4)</f>
        <v>6.15</v>
      </c>
      <c r="E14" s="33" t="str">
        <f ca="1">+OFFSET(bd_bonos!$A$1,MATCH(portafolio!$A14,bd_bonos!$A$1:'bd_bonos'!$A$28,0)-1,12)</f>
        <v>PEN</v>
      </c>
      <c r="F14" s="48">
        <f ca="1">+OFFSET(bd_bonos!$A$1,MATCH(portafolio!$A14,bd_bonos!$A$1:'bd_bonos'!$A$28,0)-1,32)/1000000</f>
        <v>11361.5</v>
      </c>
      <c r="G14" s="48">
        <f ca="1">+OFFSET(bd_bonos!$A$1,MATCH(portafolio!$A14,bd_bonos!$A$1:'bd_bonos'!$A$28,0)-1,33)/1000000</f>
        <v>13113.207</v>
      </c>
      <c r="H14" s="33">
        <f ca="1">+OFFSET(bd_bonos!$A$1,MATCH(portafolio!$A14,bd_bonos!$A$1:'bd_bonos'!$A$28,0)-1,6)</f>
        <v>2</v>
      </c>
      <c r="I14" s="33" t="str">
        <f ca="1">+OFFSET(bd_bonos!$A$1,MATCH(portafolio!$A14,bd_bonos!$A$1:'bd_bonos'!$A$28,0)-1,9)</f>
        <v>ACT/360</v>
      </c>
      <c r="J14" s="49">
        <f ca="1">+OFFSET(bd_bonos!$A$1,MATCH(portafolio!$A14,bd_bonos!$A$1:'bd_bonos'!$A$28,0)-1,21)</f>
        <v>5.9212970786451713</v>
      </c>
      <c r="K14" s="49">
        <f ca="1">+OFFSET(bd_bonos!$A$1,MATCH(portafolio!$A14,bd_bonos!$A$1:'bd_bonos'!$A$28,0)-1,20)</f>
        <v>102.1045</v>
      </c>
      <c r="L14" s="50">
        <f ca="1">+OFFSET(bd_bonos!$A$1,MATCH(portafolio!$A14,bd_bonos!$A$1:'bd_bonos'!$A$28,0)-1,25)</f>
        <v>9.3369938694386256</v>
      </c>
      <c r="M14" s="50">
        <f ca="1">+OFFSET(bd_bonos!$A$1,MATCH(portafolio!$A14,bd_bonos!$A$1:'bd_bonos'!$A$28,0)-1,29)</f>
        <v>8.818660217532047</v>
      </c>
      <c r="N14" s="51">
        <f ca="1">+(B14-resumen!$B$6)/365</f>
        <v>10.531506849315068</v>
      </c>
      <c r="O14" s="52">
        <f ca="1">+OFFSET(bd_bonos!$A$1,MATCH(portafolio!$A14,bd_bonos!$A$1:'bd_bonos'!$A$28,0)-1,34)</f>
        <v>2.6237771739130435</v>
      </c>
    </row>
    <row r="15" spans="1:16">
      <c r="A15" s="45" t="s">
        <v>124</v>
      </c>
      <c r="B15" s="46" t="str">
        <f ca="1">+OFFSET(bd_bonos!$A$1,MATCH(portafolio!$A15,bd_bonos!$A$1:'bd_bonos'!$A$28,0)-1,11)</f>
        <v>12/08/2037</v>
      </c>
      <c r="C15" s="33" t="str">
        <f ca="1">+OFFSET(bd_bonos!$A$1,MATCH(portafolio!$A15,bd_bonos!$A$1:'bd_bonos'!$A$28,0)-1,1)</f>
        <v>PEP01000C2Z1</v>
      </c>
      <c r="D15" s="47">
        <f ca="1">+OFFSET(bd_bonos!$A$1,MATCH(portafolio!$A15,bd_bonos!$A$1:'bd_bonos'!$A$28,0)-1,4)</f>
        <v>6.9</v>
      </c>
      <c r="E15" s="33" t="str">
        <f ca="1">+OFFSET(bd_bonos!$A$1,MATCH(portafolio!$A15,bd_bonos!$A$1:'bd_bonos'!$A$28,0)-1,12)</f>
        <v>PEN</v>
      </c>
      <c r="F15" s="48">
        <f ca="1">+OFFSET(bd_bonos!$A$1,MATCH(portafolio!$A15,bd_bonos!$A$1:'bd_bonos'!$A$28,0)-1,32)/1000000</f>
        <v>10125.223</v>
      </c>
      <c r="G15" s="48">
        <f ca="1">+OFFSET(bd_bonos!$A$1,MATCH(portafolio!$A15,bd_bonos!$A$1:'bd_bonos'!$A$28,0)-1,33)/1000000</f>
        <v>11665.414000000001</v>
      </c>
      <c r="H15" s="33">
        <f ca="1">+OFFSET(bd_bonos!$A$1,MATCH(portafolio!$A15,bd_bonos!$A$1:'bd_bonos'!$A$28,0)-1,6)</f>
        <v>2</v>
      </c>
      <c r="I15" s="33" t="str">
        <f ca="1">+OFFSET(bd_bonos!$A$1,MATCH(portafolio!$A15,bd_bonos!$A$1:'bd_bonos'!$A$28,0)-1,9)</f>
        <v>ACT/360</v>
      </c>
      <c r="J15" s="49">
        <f ca="1">+OFFSET(bd_bonos!$A$1,MATCH(portafolio!$A15,bd_bonos!$A$1:'bd_bonos'!$A$28,0)-1,21)</f>
        <v>6.1558000000000002</v>
      </c>
      <c r="K15" s="49">
        <f ca="1">+OFFSET(bd_bonos!$A$1,MATCH(portafolio!$A15,bd_bonos!$A$1:'bd_bonos'!$A$28,0)-1,20)</f>
        <v>108.197</v>
      </c>
      <c r="L15" s="50">
        <f ca="1">+OFFSET(bd_bonos!$A$1,MATCH(portafolio!$A15,bd_bonos!$A$1:'bd_bonos'!$A$28,0)-1,25)</f>
        <v>10.909920081077944</v>
      </c>
      <c r="M15" s="50">
        <f ca="1">+OFFSET(bd_bonos!$A$1,MATCH(portafolio!$A15,bd_bonos!$A$1:'bd_bonos'!$A$28,0)-1,29)</f>
        <v>10.28387701985165</v>
      </c>
      <c r="N15" s="51">
        <f ca="1">+(B15-resumen!$B$6)/365</f>
        <v>15.534246575342467</v>
      </c>
      <c r="O15" s="52">
        <f ca="1">+OFFSET(bd_bonos!$A$1,MATCH(portafolio!$A15,bd_bonos!$A$1:'bd_bonos'!$A$28,0)-1,34)</f>
        <v>2.9437500000000001</v>
      </c>
    </row>
    <row r="16" spans="1:16">
      <c r="A16" s="45" t="s">
        <v>125</v>
      </c>
      <c r="B16" s="46" t="str">
        <f ca="1">+OFFSET(bd_bonos!$A$1,MATCH(portafolio!$A16,bd_bonos!$A$1:'bd_bonos'!$A$28,0)-1,11)</f>
        <v>12/02/2042</v>
      </c>
      <c r="C16" s="33" t="str">
        <f ca="1">+OFFSET(bd_bonos!$A$1,MATCH(portafolio!$A16,bd_bonos!$A$1:'bd_bonos'!$A$28,0)-1,1)</f>
        <v>PEP01000C4L7</v>
      </c>
      <c r="D16" s="47">
        <f ca="1">+OFFSET(bd_bonos!$A$1,MATCH(portafolio!$A16,bd_bonos!$A$1:'bd_bonos'!$A$28,0)-1,4)</f>
        <v>6.85</v>
      </c>
      <c r="E16" s="33" t="str">
        <f ca="1">+OFFSET(bd_bonos!$A$1,MATCH(portafolio!$A16,bd_bonos!$A$1:'bd_bonos'!$A$28,0)-1,12)</f>
        <v>PEN</v>
      </c>
      <c r="F16" s="48">
        <f ca="1">+OFFSET(bd_bonos!$A$1,MATCH(portafolio!$A16,bd_bonos!$A$1:'bd_bonos'!$A$28,0)-1,32)/1000000</f>
        <v>4443.473</v>
      </c>
      <c r="G16" s="48">
        <f ca="1">+OFFSET(bd_bonos!$A$1,MATCH(portafolio!$A16,bd_bonos!$A$1:'bd_bonos'!$A$28,0)-1,33)/1000000</f>
        <v>4443.473</v>
      </c>
      <c r="H16" s="33">
        <f ca="1">+OFFSET(bd_bonos!$A$1,MATCH(portafolio!$A16,bd_bonos!$A$1:'bd_bonos'!$A$28,0)-1,6)</f>
        <v>2</v>
      </c>
      <c r="I16" s="33" t="str">
        <f ca="1">+OFFSET(bd_bonos!$A$1,MATCH(portafolio!$A16,bd_bonos!$A$1:'bd_bonos'!$A$28,0)-1,9)</f>
        <v>ACT/360</v>
      </c>
      <c r="J16" s="49">
        <f ca="1">+OFFSET(bd_bonos!$A$1,MATCH(portafolio!$A16,bd_bonos!$A$1:'bd_bonos'!$A$28,0)-1,21)</f>
        <v>6.2714999999999996</v>
      </c>
      <c r="K16" s="49">
        <f ca="1">+OFFSET(bd_bonos!$A$1,MATCH(portafolio!$A16,bd_bonos!$A$1:'bd_bonos'!$A$28,0)-1,20)</f>
        <v>107.05199999999999</v>
      </c>
      <c r="L16" s="50">
        <f ca="1">+OFFSET(bd_bonos!$A$1,MATCH(portafolio!$A16,bd_bonos!$A$1:'bd_bonos'!$A$28,0)-1,25)</f>
        <v>12.099995360509132</v>
      </c>
      <c r="M16" s="50">
        <f ca="1">+OFFSET(bd_bonos!$A$1,MATCH(portafolio!$A16,bd_bonos!$A$1:'bd_bonos'!$A$28,0)-1,29)</f>
        <v>11.405937313869357</v>
      </c>
      <c r="N16" s="51">
        <f ca="1">+(B16-resumen!$B$6)/365</f>
        <v>20.041095890410958</v>
      </c>
      <c r="O16" s="52">
        <f ca="1">+OFFSET(bd_bonos!$A$1,MATCH(portafolio!$A16,bd_bonos!$A$1:'bd_bonos'!$A$28,0)-1,34)</f>
        <v>2.9224184782608695</v>
      </c>
    </row>
    <row r="17" spans="1:15">
      <c r="A17" s="45" t="s">
        <v>126</v>
      </c>
      <c r="B17" s="46" t="str">
        <f ca="1">+OFFSET(bd_bonos!$A$1,MATCH(portafolio!$A17,bd_bonos!$A$1:'bd_bonos'!$A$28,0)-1,11)</f>
        <v>12/02/2055</v>
      </c>
      <c r="C17" s="33" t="str">
        <f ca="1">+OFFSET(bd_bonos!$A$1,MATCH(portafolio!$A17,bd_bonos!$A$1:'bd_bonos'!$A$28,0)-1,1)</f>
        <v>PEP01000C4S2</v>
      </c>
      <c r="D17" s="47">
        <f ca="1">+OFFSET(bd_bonos!$A$1,MATCH(portafolio!$A17,bd_bonos!$A$1:'bd_bonos'!$A$28,0)-1,4)</f>
        <v>6.7141999999999999</v>
      </c>
      <c r="E17" s="33" t="str">
        <f ca="1">+OFFSET(bd_bonos!$A$1,MATCH(portafolio!$A17,bd_bonos!$A$1:'bd_bonos'!$A$28,0)-1,12)</f>
        <v>PEN</v>
      </c>
      <c r="F17" s="48">
        <f ca="1">+OFFSET(bd_bonos!$A$1,MATCH(portafolio!$A17,bd_bonos!$A$1:'bd_bonos'!$A$28,0)-1,32)/1000000</f>
        <v>2271.8429999999998</v>
      </c>
      <c r="G17" s="48">
        <f ca="1">+OFFSET(bd_bonos!$A$1,MATCH(portafolio!$A17,bd_bonos!$A$1:'bd_bonos'!$A$28,0)-1,33)/1000000</f>
        <v>2271.8429999999998</v>
      </c>
      <c r="H17" s="33">
        <f ca="1">+OFFSET(bd_bonos!$A$1,MATCH(portafolio!$A17,bd_bonos!$A$1:'bd_bonos'!$A$28,0)-1,6)</f>
        <v>2</v>
      </c>
      <c r="I17" s="33" t="str">
        <f ca="1">+OFFSET(bd_bonos!$A$1,MATCH(portafolio!$A17,bd_bonos!$A$1:'bd_bonos'!$A$28,0)-1,9)</f>
        <v>ACT/360</v>
      </c>
      <c r="J17" s="49">
        <f ca="1">+OFFSET(bd_bonos!$A$1,MATCH(portafolio!$A17,bd_bonos!$A$1:'bd_bonos'!$A$28,0)-1,21)</f>
        <v>6.3390133501117107</v>
      </c>
      <c r="K17" s="49">
        <f ca="1">+OFFSET(bd_bonos!$A$1,MATCH(portafolio!$A17,bd_bonos!$A$1:'bd_bonos'!$A$28,0)-1,20)</f>
        <v>105.36750000000001</v>
      </c>
      <c r="L17" s="50">
        <f ca="1">+OFFSET(bd_bonos!$A$1,MATCH(portafolio!$A17,bd_bonos!$A$1:'bd_bonos'!$A$28,0)-1,25)</f>
        <v>14.22648997016773</v>
      </c>
      <c r="M17" s="50">
        <f ca="1">+OFFSET(bd_bonos!$A$1,MATCH(portafolio!$A17,bd_bonos!$A$1:'bd_bonos'!$A$28,0)-1,29)</f>
        <v>13.414212083615903</v>
      </c>
      <c r="N17" s="51">
        <f ca="1">+(B17-resumen!$B$6)/365</f>
        <v>33.049315068493151</v>
      </c>
      <c r="O17" s="52">
        <f ca="1">+OFFSET(bd_bonos!$A$1,MATCH(portafolio!$A17,bd_bonos!$A$1:'bd_bonos'!$A$28,0)-1,34)</f>
        <v>2.8644820652173912</v>
      </c>
    </row>
    <row r="18" spans="1:15">
      <c r="A18" s="29"/>
      <c r="B18" s="33"/>
      <c r="C18" s="33"/>
      <c r="D18" s="319" t="s">
        <v>387</v>
      </c>
      <c r="E18" s="319"/>
      <c r="F18" s="80">
        <f ca="1">+SUM(F6:F17)</f>
        <v>99424.349999999991</v>
      </c>
      <c r="G18" s="80">
        <f ca="1">+SUM(G6:G17)</f>
        <v>103701.389</v>
      </c>
      <c r="H18" s="53"/>
      <c r="I18" s="53"/>
      <c r="J18" s="53"/>
      <c r="K18" s="81">
        <f ca="1">+SUMPRODUCT($G$6:$G$17,$K$6:$K$17)/$G$18</f>
        <v>106.86157045674673</v>
      </c>
      <c r="L18" s="82">
        <f ca="1">+SUMPRODUCT($G$6:$G$17,$L$6:$L$17)/$G$18</f>
        <v>7.8644254448666286</v>
      </c>
      <c r="M18" s="82">
        <f ca="1">+SUMPRODUCT($G$6:$G$17,$M$6:$M$17)/$G$18</f>
        <v>7.4419087458579787</v>
      </c>
      <c r="N18" s="82">
        <f ca="1">+SUMPRODUCT($G$6:$G$17,$N$6:$N$17)/$G$18</f>
        <v>8.6028387360220719</v>
      </c>
      <c r="O18" s="32"/>
    </row>
    <row r="19" spans="1:15">
      <c r="A19" s="54" t="s">
        <v>303</v>
      </c>
      <c r="B19" s="33"/>
      <c r="C19" s="33"/>
      <c r="D19" s="30"/>
      <c r="E19" s="53"/>
      <c r="F19" s="55"/>
      <c r="G19" s="55"/>
      <c r="H19" s="53"/>
      <c r="I19" s="53"/>
      <c r="J19" s="53"/>
      <c r="K19" s="56"/>
      <c r="L19" s="30"/>
      <c r="M19" s="30"/>
      <c r="N19" s="30"/>
      <c r="O19" s="32"/>
    </row>
    <row r="20" spans="1:15">
      <c r="A20" s="45" t="s">
        <v>219</v>
      </c>
      <c r="B20" s="33" t="str">
        <f ca="1">+OFFSET(bd_bonos!$A$1,MATCH(portafolio!$A20,bd_bonos!$A$1:'bd_bonos'!$A$28,0)-1,11)</f>
        <v>30/03/2019</v>
      </c>
      <c r="C20" s="33" t="str">
        <f ca="1">OFFSET(bd_bonos!$A$1,MATCH(portafolio!$A20,bd_bonos!$A$1:'bd_bonos'!$A$28,0)-1,1)</f>
        <v>US715638AW21</v>
      </c>
      <c r="D20" s="47">
        <f ca="1">+OFFSET(bd_bonos!$A$1,MATCH(portafolio!$A20,bd_bonos!$A$1:'bd_bonos'!$A$28,0)-1,4)</f>
        <v>7.125</v>
      </c>
      <c r="E20" s="33" t="str">
        <f ca="1">+OFFSET(bd_bonos!$A$1,MATCH(portafolio!$A20,bd_bonos!$A$1:'bd_bonos'!$A$28,0)-1,12)</f>
        <v>USD</v>
      </c>
      <c r="F20" s="48">
        <f ca="1">+OFFSET(bd_bonos!$A$1,MATCH(portafolio!$A20,bd_bonos!$A$1:'bd_bonos'!$A$28,0)-1,32)/1000000</f>
        <v>1000</v>
      </c>
      <c r="G20" s="48">
        <f ca="1">+OFFSET(bd_bonos!$A$1,MATCH(portafolio!$A20,bd_bonos!$A$1:'bd_bonos'!$A$28,0)-1,33)/1000000</f>
        <v>149.214</v>
      </c>
      <c r="H20" s="33">
        <f ca="1">+OFFSET(bd_bonos!$A$1,MATCH(portafolio!$A20,bd_bonos!$A$1:'bd_bonos'!$A$28,0)-1,6)</f>
        <v>2</v>
      </c>
      <c r="I20" s="33" t="str">
        <f ca="1">+OFFSET(bd_bonos!$A$1,MATCH(portafolio!$A20,bd_bonos!$A$1:'bd_bonos'!$A$28,0)-1,9)</f>
        <v>ISMA-30/360 NONEOM</v>
      </c>
      <c r="J20" s="49">
        <f ca="1">+OFFSET(bd_bonos!$A$1,MATCH(portafolio!$A20,bd_bonos!$A$1:'bd_bonos'!$A$28,0)-1,21)</f>
        <v>0.62362147626672026</v>
      </c>
      <c r="K20" s="49">
        <f ca="1">+OFFSET(bd_bonos!$A$1,MATCH(portafolio!$A20,bd_bonos!$A$1:'bd_bonos'!$A$28,0)-1,20)</f>
        <v>101.35</v>
      </c>
      <c r="L20" s="50">
        <f ca="1">+OFFSET(bd_bonos!$A$1,MATCH(portafolio!$A20,bd_bonos!$A$1:'bd_bonos'!$A$28,0)-1,25)</f>
        <v>0.20833333342330007</v>
      </c>
      <c r="M20" s="50">
        <f ca="1">+OFFSET(bd_bonos!$A$1,MATCH(portafolio!$A20,bd_bonos!$A$1:'bd_bonos'!$A$28,0)-1,29)</f>
        <v>0.20806301557970505</v>
      </c>
      <c r="N20" s="50">
        <f ca="1">+(B20-resumen!$B$6)/365</f>
        <v>-2.8493150684931505</v>
      </c>
      <c r="O20" s="52">
        <f ca="1">+OFFSET(bd_bonos!$A$1,MATCH(portafolio!$A20,bd_bonos!$A$1:'bd_bonos'!$A$28,0)-1,34)</f>
        <v>2.078125</v>
      </c>
    </row>
    <row r="21" spans="1:15">
      <c r="A21" s="45" t="s">
        <v>227</v>
      </c>
      <c r="B21" s="33" t="str">
        <f ca="1">+OFFSET(bd_bonos!$A$1,MATCH(portafolio!$A21,bd_bonos!$A$1:'bd_bonos'!$A$28,0)-1,11)</f>
        <v>21/07/2025</v>
      </c>
      <c r="C21" s="33" t="str">
        <f ca="1">OFFSET(bd_bonos!$A$1,MATCH(portafolio!$A21,bd_bonos!$A$1:'bd_bonos'!$A$28,0)-1,1)</f>
        <v>US715638AS19</v>
      </c>
      <c r="D21" s="47">
        <f ca="1">+OFFSET(bd_bonos!$A$1,MATCH(portafolio!$A21,bd_bonos!$A$1:'bd_bonos'!$A$28,0)-1,4)</f>
        <v>7.35</v>
      </c>
      <c r="E21" s="33" t="str">
        <f ca="1">+OFFSET(bd_bonos!$A$1,MATCH(portafolio!$A21,bd_bonos!$A$1:'bd_bonos'!$A$28,0)-1,12)</f>
        <v>USD</v>
      </c>
      <c r="F21" s="48">
        <f ca="1">+OFFSET(bd_bonos!$A$1,MATCH(portafolio!$A21,bd_bonos!$A$1:'bd_bonos'!$A$28,0)-1,32)/1000000</f>
        <v>2250</v>
      </c>
      <c r="G21" s="48">
        <f ca="1">+OFFSET(bd_bonos!$A$1,MATCH(portafolio!$A21,bd_bonos!$A$1:'bd_bonos'!$A$28,0)-1,33)/1000000</f>
        <v>1792.78</v>
      </c>
      <c r="H21" s="33">
        <f ca="1">+OFFSET(bd_bonos!$A$1,MATCH(portafolio!$A21,bd_bonos!$A$1:'bd_bonos'!$A$28,0)-1,6)</f>
        <v>2</v>
      </c>
      <c r="I21" s="33" t="str">
        <f ca="1">+OFFSET(bd_bonos!$A$1,MATCH(portafolio!$A21,bd_bonos!$A$1:'bd_bonos'!$A$28,0)-1,9)</f>
        <v>ISMA-30/360</v>
      </c>
      <c r="J21" s="49">
        <f ca="1">+OFFSET(bd_bonos!$A$1,MATCH(portafolio!$A21,bd_bonos!$A$1:'bd_bonos'!$A$28,0)-1,21)</f>
        <v>3.4402794814433819</v>
      </c>
      <c r="K21" s="49">
        <f ca="1">+OFFSET(bd_bonos!$A$1,MATCH(portafolio!$A21,bd_bonos!$A$1:'bd_bonos'!$A$28,0)-1,20)</f>
        <v>122.65</v>
      </c>
      <c r="L21" s="50">
        <f ca="1">+OFFSET(bd_bonos!$A$1,MATCH(portafolio!$A21,bd_bonos!$A$1:'bd_bonos'!$A$28,0)-1,25)</f>
        <v>5.2767015623205129</v>
      </c>
      <c r="M21" s="50">
        <f ca="1">+OFFSET(bd_bonos!$A$1,MATCH(portafolio!$A21,bd_bonos!$A$1:'bd_bonos'!$A$28,0)-1,29)</f>
        <v>5.1887559121025539</v>
      </c>
      <c r="N21" s="50">
        <f ca="1">+(B21-resumen!$B$6)/365</f>
        <v>3.4657534246575343</v>
      </c>
      <c r="O21" s="52">
        <f ca="1">+OFFSET(bd_bonos!$A$1,MATCH(portafolio!$A21,bd_bonos!$A$1:'bd_bonos'!$A$28,0)-1,34)</f>
        <v>3.5524999999999998</v>
      </c>
    </row>
    <row r="22" spans="1:15">
      <c r="A22" s="45" t="s">
        <v>233</v>
      </c>
      <c r="B22" s="33" t="str">
        <f ca="1">+OFFSET(bd_bonos!$A$1,MATCH(portafolio!$A22,bd_bonos!$A$1:'bd_bonos'!$A$28,0)-1,11)</f>
        <v>30/01/2026</v>
      </c>
      <c r="C22" s="33" t="str">
        <f ca="1">OFFSET(bd_bonos!$A$1,MATCH(portafolio!$A22,bd_bonos!$A$1:'bd_bonos'!$A$28,0)-1,1)</f>
        <v>XS1315181708</v>
      </c>
      <c r="D22" s="47">
        <f ca="1">+OFFSET(bd_bonos!$A$1,MATCH(portafolio!$A22,bd_bonos!$A$1:'bd_bonos'!$A$28,0)-1,4)</f>
        <v>2.75</v>
      </c>
      <c r="E22" s="33" t="str">
        <f ca="1">+OFFSET(bd_bonos!$A$1,MATCH(portafolio!$A22,bd_bonos!$A$1:'bd_bonos'!$A$28,0)-1,12)</f>
        <v>EUR</v>
      </c>
      <c r="F22" s="48">
        <f ca="1">+OFFSET(bd_bonos!$A$1,MATCH(portafolio!$A22,bd_bonos!$A$1:'bd_bonos'!$A$28,0)-1,32)/1000000</f>
        <v>1100</v>
      </c>
      <c r="G22" s="48">
        <f ca="1">+OFFSET(bd_bonos!$A$1,MATCH(portafolio!$A22,bd_bonos!$A$1:'bd_bonos'!$A$28,0)-1,33)/1000000</f>
        <v>1100</v>
      </c>
      <c r="H22" s="33">
        <f ca="1">+OFFSET(bd_bonos!$A$1,MATCH(portafolio!$A22,bd_bonos!$A$1:'bd_bonos'!$A$28,0)-1,6)</f>
        <v>1</v>
      </c>
      <c r="I22" s="33" t="str">
        <f ca="1">+OFFSET(bd_bonos!$A$1,MATCH(portafolio!$A22,bd_bonos!$A$1:'bd_bonos'!$A$28,0)-1,9)</f>
        <v>ACT/ACT</v>
      </c>
      <c r="J22" s="49">
        <f ca="1">+OFFSET(bd_bonos!$A$1,MATCH(portafolio!$A22,bd_bonos!$A$1:'bd_bonos'!$A$28,0)-1,21)</f>
        <v>1.4059172219924958</v>
      </c>
      <c r="K22" s="49">
        <f ca="1">+OFFSET(bd_bonos!$A$1,MATCH(portafolio!$A22,bd_bonos!$A$1:'bd_bonos'!$A$28,0)-1,20)</f>
        <v>108.95</v>
      </c>
      <c r="L22" s="50">
        <f ca="1">+OFFSET(bd_bonos!$A$1,MATCH(portafolio!$A22,bd_bonos!$A$1:'bd_bonos'!$A$28,0)-1,25)</f>
        <v>6.3688989269411111</v>
      </c>
      <c r="M22" s="50">
        <f ca="1">+OFFSET(bd_bonos!$A$1,MATCH(portafolio!$A22,bd_bonos!$A$1:'bd_bonos'!$A$28,0)-1,29)</f>
        <v>6.2819243083359808</v>
      </c>
      <c r="N22" s="50">
        <f ca="1">+(B22-resumen!$B$6)/365</f>
        <v>3.9945205479452053</v>
      </c>
      <c r="O22" s="52">
        <f ca="1">+OFFSET(bd_bonos!$A$1,MATCH(portafolio!$A22,bd_bonos!$A$1:'bd_bonos'!$A$28,0)-1,34)</f>
        <v>2.6369863013698631</v>
      </c>
    </row>
    <row r="23" spans="1:15">
      <c r="A23" s="45" t="s">
        <v>242</v>
      </c>
      <c r="B23" s="33" t="str">
        <f ca="1">+OFFSET(bd_bonos!$A$1,MATCH(portafolio!$A23,bd_bonos!$A$1:'bd_bonos'!$A$28,0)-1,11)</f>
        <v>25/08/2027</v>
      </c>
      <c r="C23" s="33" t="str">
        <f ca="1">OFFSET(bd_bonos!$A$1,MATCH(portafolio!$A23,bd_bonos!$A$1:'bd_bonos'!$A$28,0)-1,1)</f>
        <v>US715638BU55</v>
      </c>
      <c r="D23" s="47">
        <f ca="1">+OFFSET(bd_bonos!$A$1,MATCH(portafolio!$A23,bd_bonos!$A$1:'bd_bonos'!$A$28,0)-1,4)</f>
        <v>4.125</v>
      </c>
      <c r="E23" s="33" t="str">
        <f ca="1">+OFFSET(bd_bonos!$A$1,MATCH(portafolio!$A23,bd_bonos!$A$1:'bd_bonos'!$A$28,0)-1,12)</f>
        <v>USD</v>
      </c>
      <c r="F23" s="48">
        <f ca="1">+OFFSET(bd_bonos!$A$1,MATCH(portafolio!$A23,bd_bonos!$A$1:'bd_bonos'!$A$28,0)-1,32)/1000000</f>
        <v>1250</v>
      </c>
      <c r="G23" s="48">
        <f ca="1">+OFFSET(bd_bonos!$A$1,MATCH(portafolio!$A23,bd_bonos!$A$1:'bd_bonos'!$A$28,0)-1,33)/1000000</f>
        <v>1250</v>
      </c>
      <c r="H23" s="33">
        <f ca="1">+OFFSET(bd_bonos!$A$1,MATCH(portafolio!$A23,bd_bonos!$A$1:'bd_bonos'!$A$28,0)-1,6)</f>
        <v>2</v>
      </c>
      <c r="I23" s="33" t="str">
        <f ca="1">+OFFSET(bd_bonos!$A$1,MATCH(portafolio!$A23,bd_bonos!$A$1:'bd_bonos'!$A$28,0)-1,9)</f>
        <v>ISMA-30/360</v>
      </c>
      <c r="J23" s="49">
        <f ca="1">+OFFSET(bd_bonos!$A$1,MATCH(portafolio!$A23,bd_bonos!$A$1:'bd_bonos'!$A$28,0)-1,21)</f>
        <v>3.4984860147373698</v>
      </c>
      <c r="K23" s="49">
        <f ca="1">+OFFSET(bd_bonos!$A$1,MATCH(portafolio!$A23,bd_bonos!$A$1:'bd_bonos'!$A$28,0)-1,20)</f>
        <v>104.62049999999999</v>
      </c>
      <c r="L23" s="50">
        <f ca="1">+OFFSET(bd_bonos!$A$1,MATCH(portafolio!$A23,bd_bonos!$A$1:'bd_bonos'!$A$28,0)-1,25)</f>
        <v>7.257380050649755</v>
      </c>
      <c r="M23" s="50">
        <f ca="1">+OFFSET(bd_bonos!$A$1,MATCH(portafolio!$A23,bd_bonos!$A$1:'bd_bonos'!$A$28,0)-1,29)</f>
        <v>7.1340061922752067</v>
      </c>
      <c r="N23" s="50">
        <f ca="1">+(B23-resumen!$B$6)/365</f>
        <v>5.5616438356164384</v>
      </c>
      <c r="O23" s="52">
        <f ca="1">+OFFSET(bd_bonos!$A$1,MATCH(portafolio!$A23,bd_bonos!$A$1:'bd_bonos'!$A$28,0)-1,34)</f>
        <v>1.604166666666667</v>
      </c>
    </row>
    <row r="24" spans="1:15">
      <c r="A24" s="45" t="s">
        <v>247</v>
      </c>
      <c r="B24" s="33" t="str">
        <f ca="1">+OFFSET(bd_bonos!$A$1,MATCH(portafolio!$A24,bd_bonos!$A$1:'bd_bonos'!$A$28,0)-1,11)</f>
        <v>01/03/2030</v>
      </c>
      <c r="C24" s="33" t="str">
        <f ca="1">OFFSET(bd_bonos!$A$1,MATCH(portafolio!$A24,bd_bonos!$A$1:'bd_bonos'!$A$28,0)-1,1)</f>
        <v>XS1373156618</v>
      </c>
      <c r="D24" s="47">
        <f ca="1">+OFFSET(bd_bonos!$A$1,MATCH(portafolio!$A24,bd_bonos!$A$1:'bd_bonos'!$A$28,0)-1,4)</f>
        <v>3.75</v>
      </c>
      <c r="E24" s="33" t="str">
        <f ca="1">+OFFSET(bd_bonos!$A$1,MATCH(portafolio!$A24,bd_bonos!$A$1:'bd_bonos'!$A$28,0)-1,12)</f>
        <v>EUR</v>
      </c>
      <c r="F24" s="48">
        <f ca="1">+OFFSET(bd_bonos!$A$1,MATCH(portafolio!$A24,bd_bonos!$A$1:'bd_bonos'!$A$28,0)-1,32)/1000000</f>
        <v>1000</v>
      </c>
      <c r="G24" s="48">
        <f ca="1">+OFFSET(bd_bonos!$A$1,MATCH(portafolio!$A24,bd_bonos!$A$1:'bd_bonos'!$A$28,0)-1,33)/1000000</f>
        <v>1000</v>
      </c>
      <c r="H24" s="33">
        <f ca="1">+OFFSET(bd_bonos!$A$1,MATCH(portafolio!$A24,bd_bonos!$A$1:'bd_bonos'!$A$28,0)-1,6)</f>
        <v>1</v>
      </c>
      <c r="I24" s="33" t="str">
        <f ca="1">+OFFSET(bd_bonos!$A$1,MATCH(portafolio!$A24,bd_bonos!$A$1:'bd_bonos'!$A$28,0)-1,9)</f>
        <v>ISDA ACT/ACT</v>
      </c>
      <c r="J24" s="49">
        <f ca="1">+OFFSET(bd_bonos!$A$1,MATCH(portafolio!$A24,bd_bonos!$A$1:'bd_bonos'!$A$28,0)-1,21)</f>
        <v>1.9485482076104743</v>
      </c>
      <c r="K24" s="49">
        <f ca="1">+OFFSET(bd_bonos!$A$1,MATCH(portafolio!$A24,bd_bonos!$A$1:'bd_bonos'!$A$28,0)-1,20)</f>
        <v>117.85599999999999</v>
      </c>
      <c r="L24" s="50">
        <f ca="1">+OFFSET(bd_bonos!$A$1,MATCH(portafolio!$A24,bd_bonos!$A$1:'bd_bonos'!$A$28,0)-1,25)</f>
        <v>9.2054421075631918</v>
      </c>
      <c r="M24" s="50">
        <f ca="1">+OFFSET(bd_bonos!$A$1,MATCH(portafolio!$A24,bd_bonos!$A$1:'bd_bonos'!$A$28,0)-1,29)</f>
        <v>9.0335329977061711</v>
      </c>
      <c r="N24" s="50">
        <f ca="1">+(B24-resumen!$B$6)/365</f>
        <v>8.0794520547945208</v>
      </c>
      <c r="O24" s="52">
        <f ca="1">+OFFSET(bd_bonos!$A$1,MATCH(portafolio!$A24,bd_bonos!$A$1:'bd_bonos'!$A$28,0)-1,34)</f>
        <v>3.2876712328767121</v>
      </c>
    </row>
    <row r="25" spans="1:15">
      <c r="A25" s="45" t="s">
        <v>252</v>
      </c>
      <c r="B25" s="33" t="str">
        <f ca="1">+OFFSET(bd_bonos!$A$1,MATCH(portafolio!$A25,bd_bonos!$A$1:'bd_bonos'!$A$28,0)-1,11)</f>
        <v>21/11/2033</v>
      </c>
      <c r="C25" s="33" t="str">
        <f ca="1">OFFSET(bd_bonos!$A$1,MATCH(portafolio!$A25,bd_bonos!$A$1:'bd_bonos'!$A$28,0)-1,1)</f>
        <v>US715638AP79</v>
      </c>
      <c r="D25" s="47">
        <f ca="1">+OFFSET(bd_bonos!$A$1,MATCH(portafolio!$A25,bd_bonos!$A$1:'bd_bonos'!$A$28,0)-1,4)</f>
        <v>8.75</v>
      </c>
      <c r="E25" s="33" t="str">
        <f ca="1">+OFFSET(bd_bonos!$A$1,MATCH(portafolio!$A25,bd_bonos!$A$1:'bd_bonos'!$A$28,0)-1,12)</f>
        <v>USD</v>
      </c>
      <c r="F25" s="48">
        <f ca="1">+OFFSET(bd_bonos!$A$1,MATCH(portafolio!$A25,bd_bonos!$A$1:'bd_bonos'!$A$28,0)-1,32)/1000000</f>
        <v>2245.4389999999999</v>
      </c>
      <c r="G25" s="48">
        <f ca="1">+OFFSET(bd_bonos!$A$1,MATCH(portafolio!$A25,bd_bonos!$A$1:'bd_bonos'!$A$28,0)-1,33)/1000000</f>
        <v>2188.3290000000002</v>
      </c>
      <c r="H25" s="33">
        <f ca="1">+OFFSET(bd_bonos!$A$1,MATCH(portafolio!$A25,bd_bonos!$A$1:'bd_bonos'!$A$28,0)-1,6)</f>
        <v>2</v>
      </c>
      <c r="I25" s="33" t="str">
        <f ca="1">+OFFSET(bd_bonos!$A$1,MATCH(portafolio!$A25,bd_bonos!$A$1:'bd_bonos'!$A$28,0)-1,9)</f>
        <v>ISMA-30/360</v>
      </c>
      <c r="J25" s="49">
        <f ca="1">+OFFSET(bd_bonos!$A$1,MATCH(portafolio!$A25,bd_bonos!$A$1:'bd_bonos'!$A$28,0)-1,21)</f>
        <v>4.2136719745239288</v>
      </c>
      <c r="K25" s="49">
        <f ca="1">+OFFSET(bd_bonos!$A$1,MATCH(portafolio!$A25,bd_bonos!$A$1:'bd_bonos'!$A$28,0)-1,20)</f>
        <v>149.68950000000001</v>
      </c>
      <c r="L25" s="50">
        <f ca="1">+OFFSET(bd_bonos!$A$1,MATCH(portafolio!$A25,bd_bonos!$A$1:'bd_bonos'!$A$28,0)-1,25)</f>
        <v>9.6811841133531509</v>
      </c>
      <c r="M25" s="50">
        <f ca="1">+OFFSET(bd_bonos!$A$1,MATCH(portafolio!$A25,bd_bonos!$A$1:'bd_bonos'!$A$28,0)-1,29)</f>
        <v>9.485661018589381</v>
      </c>
      <c r="N25" s="50">
        <f ca="1">+(B25-resumen!$B$6)/365</f>
        <v>11.808219178082192</v>
      </c>
      <c r="O25" s="52">
        <f ca="1">+OFFSET(bd_bonos!$A$1,MATCH(portafolio!$A25,bd_bonos!$A$1:'bd_bonos'!$A$28,0)-1,34)</f>
        <v>1.3125</v>
      </c>
    </row>
    <row r="26" spans="1:15">
      <c r="A26" s="45" t="s">
        <v>258</v>
      </c>
      <c r="B26" s="33" t="str">
        <f ca="1">+OFFSET(bd_bonos!$A$1,MATCH(portafolio!$A26,bd_bonos!$A$1:'bd_bonos'!$A$28,0)-1,11)</f>
        <v>14/03/2037</v>
      </c>
      <c r="C26" s="33" t="str">
        <f ca="1">OFFSET(bd_bonos!$A$1,MATCH(portafolio!$A26,bd_bonos!$A$1:'bd_bonos'!$A$28,0)-1,1)</f>
        <v>US715638AU64</v>
      </c>
      <c r="D26" s="47">
        <f ca="1">+OFFSET(bd_bonos!$A$1,MATCH(portafolio!$A26,bd_bonos!$A$1:'bd_bonos'!$A$28,0)-1,4)</f>
        <v>6.55</v>
      </c>
      <c r="E26" s="33" t="str">
        <f ca="1">+OFFSET(bd_bonos!$A$1,MATCH(portafolio!$A26,bd_bonos!$A$1:'bd_bonos'!$A$28,0)-1,12)</f>
        <v>USD</v>
      </c>
      <c r="F26" s="48">
        <f ca="1">+OFFSET(bd_bonos!$A$1,MATCH(portafolio!$A26,bd_bonos!$A$1:'bd_bonos'!$A$28,0)-1,32)/1000000</f>
        <v>1201.6669999999999</v>
      </c>
      <c r="G26" s="48">
        <f ca="1">+OFFSET(bd_bonos!$A$1,MATCH(portafolio!$A26,bd_bonos!$A$1:'bd_bonos'!$A$28,0)-1,33)/1000000</f>
        <v>1164.5630000000001</v>
      </c>
      <c r="H26" s="33">
        <f ca="1">+OFFSET(bd_bonos!$A$1,MATCH(portafolio!$A26,bd_bonos!$A$1:'bd_bonos'!$A$28,0)-1,6)</f>
        <v>2</v>
      </c>
      <c r="I26" s="33" t="str">
        <f ca="1">+OFFSET(bd_bonos!$A$1,MATCH(portafolio!$A26,bd_bonos!$A$1:'bd_bonos'!$A$28,0)-1,9)</f>
        <v>ISMA-30/360</v>
      </c>
      <c r="J26" s="49">
        <f ca="1">+OFFSET(bd_bonos!$A$1,MATCH(portafolio!$A26,bd_bonos!$A$1:'bd_bonos'!$A$28,0)-1,21)</f>
        <v>4.2892782749029106</v>
      </c>
      <c r="K26" s="49">
        <f ca="1">+OFFSET(bd_bonos!$A$1,MATCH(portafolio!$A26,bd_bonos!$A$1:'bd_bonos'!$A$28,0)-1,20)</f>
        <v>128.316</v>
      </c>
      <c r="L26" s="50">
        <f ca="1">+OFFSET(bd_bonos!$A$1,MATCH(portafolio!$A26,bd_bonos!$A$1:'bd_bonos'!$A$28,0)-1,25)</f>
        <v>11.176822842557126</v>
      </c>
      <c r="M26" s="50">
        <f ca="1">+OFFSET(bd_bonos!$A$1,MATCH(portafolio!$A26,bd_bonos!$A$1:'bd_bonos'!$A$28,0)-1,29)</f>
        <v>10.953084396592374</v>
      </c>
      <c r="N26" s="50">
        <f ca="1">+(B26-resumen!$B$6)/365</f>
        <v>15.12054794520548</v>
      </c>
      <c r="O26" s="52">
        <f ca="1">+OFFSET(bd_bonos!$A$1,MATCH(portafolio!$A26,bd_bonos!$A$1:'bd_bonos'!$A$28,0)-1,34)</f>
        <v>2.2015277777777778</v>
      </c>
    </row>
    <row r="27" spans="1:15">
      <c r="A27" s="45" t="s">
        <v>263</v>
      </c>
      <c r="B27" s="33" t="str">
        <f ca="1">+OFFSET(bd_bonos!$A$1,MATCH(portafolio!$A27,bd_bonos!$A$1:'bd_bonos'!$A$28,0)-1,11)</f>
        <v>18/11/2050</v>
      </c>
      <c r="C27" s="33" t="str">
        <f ca="1">OFFSET(bd_bonos!$A$1,MATCH(portafolio!$A27,bd_bonos!$A$1:'bd_bonos'!$A$28,0)-1,1)</f>
        <v>US715638BM30</v>
      </c>
      <c r="D27" s="47">
        <f ca="1">+OFFSET(bd_bonos!$A$1,MATCH(portafolio!$A27,bd_bonos!$A$1:'bd_bonos'!$A$28,0)-1,4)</f>
        <v>5.625</v>
      </c>
      <c r="E27" s="33" t="str">
        <f ca="1">+OFFSET(bd_bonos!$A$1,MATCH(portafolio!$A27,bd_bonos!$A$1:'bd_bonos'!$A$28,0)-1,12)</f>
        <v>USD</v>
      </c>
      <c r="F27" s="48">
        <f ca="1">+OFFSET(bd_bonos!$A$1,MATCH(portafolio!$A27,bd_bonos!$A$1:'bd_bonos'!$A$28,0)-1,32)/1000000</f>
        <v>2545</v>
      </c>
      <c r="G27" s="48">
        <f ca="1">+OFFSET(bd_bonos!$A$1,MATCH(portafolio!$A27,bd_bonos!$A$1:'bd_bonos'!$A$28,0)-1,33)/1000000</f>
        <v>2545</v>
      </c>
      <c r="H27" s="33">
        <f ca="1">+OFFSET(bd_bonos!$A$1,MATCH(portafolio!$A27,bd_bonos!$A$1:'bd_bonos'!$A$28,0)-1,6)</f>
        <v>2</v>
      </c>
      <c r="I27" s="33" t="str">
        <f ca="1">+OFFSET(bd_bonos!$A$1,MATCH(portafolio!$A27,bd_bonos!$A$1:'bd_bonos'!$A$28,0)-1,9)</f>
        <v>ISMA-30/360</v>
      </c>
      <c r="J27" s="49">
        <f ca="1">+OFFSET(bd_bonos!$A$1,MATCH(portafolio!$A27,bd_bonos!$A$1:'bd_bonos'!$A$28,0)-1,21)</f>
        <v>4.4683142011539321</v>
      </c>
      <c r="K27" s="49">
        <f ca="1">+OFFSET(bd_bonos!$A$1,MATCH(portafolio!$A27,bd_bonos!$A$1:'bd_bonos'!$A$28,0)-1,20)</f>
        <v>119.5415</v>
      </c>
      <c r="L27" s="50">
        <f ca="1">+OFFSET(bd_bonos!$A$1,MATCH(portafolio!$A27,bd_bonos!$A$1:'bd_bonos'!$A$28,0)-1,25)</f>
        <v>16.369672042186089</v>
      </c>
      <c r="M27" s="50">
        <f ca="1">+OFFSET(bd_bonos!$A$1,MATCH(portafolio!$A27,bd_bonos!$A$1:'bd_bonos'!$A$28,0)-1,29)</f>
        <v>16.027676210608409</v>
      </c>
      <c r="N27" s="50">
        <f ca="1">+(B27-resumen!$B$6)/365</f>
        <v>28.81095890410959</v>
      </c>
      <c r="O27" s="52">
        <f ca="1">+OFFSET(bd_bonos!$A$1,MATCH(portafolio!$A27,bd_bonos!$A$1:'bd_bonos'!$A$28,0)-1,34)</f>
        <v>0.89062499999999989</v>
      </c>
    </row>
    <row r="28" spans="1:15">
      <c r="A28" s="29"/>
      <c r="B28" s="33"/>
      <c r="C28" s="33"/>
      <c r="D28" s="319" t="s">
        <v>385</v>
      </c>
      <c r="E28" s="319"/>
      <c r="F28" s="80" t="e">
        <f ca="1">+SUMIF($E$20:$E$27,"USD",F$20:F$27)+SUMIF($E$20:$E$27,"EUR",F$20:F$27)*mercados!$B$22</f>
        <v>#NAME?</v>
      </c>
      <c r="G28" s="80" t="e">
        <f ca="1">+SUMIF($E$20:$E$27,"USD",G$20:G$27)+SUMIF($E$20:$E$27,"EUR",G$20:G$27)*mercados!$B$22</f>
        <v>#NAME?</v>
      </c>
      <c r="H28" s="30"/>
      <c r="I28" s="30"/>
      <c r="J28" s="30"/>
      <c r="K28" s="84"/>
      <c r="L28" s="84"/>
      <c r="M28" s="84"/>
      <c r="N28" s="82" t="e">
        <f ca="1">+SUMPRODUCT($G$20:$G$27,N$20:N$27)/G28</f>
        <v>#NAME?</v>
      </c>
      <c r="O28" s="32"/>
    </row>
    <row r="29" spans="1:15">
      <c r="A29" s="323" t="s">
        <v>619</v>
      </c>
      <c r="B29" s="324"/>
      <c r="C29" s="324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2"/>
    </row>
    <row r="30" spans="1:15">
      <c r="A30" s="45" t="s">
        <v>384</v>
      </c>
      <c r="B30" s="33" t="str">
        <f ca="1">+OFFSET(bd_bonos!$A$1,MATCH(portafolio!$A30,bd_bonos!$A$1:'bd_bonos'!$A$28,0)-1,11)</f>
        <v>13/10/2024</v>
      </c>
      <c r="C30" s="33" t="str">
        <f ca="1">OFFSET(bd_bonos!$A$1,MATCH(portafolio!$A30,bd_bonos!$A$1:'bd_bonos'!$A$28,0)-1,1)</f>
        <v>PEP01000CT89</v>
      </c>
      <c r="D30" s="47">
        <f ca="1">+OFFSET(bd_bonos!$A$1,MATCH(portafolio!$A30,bd_bonos!$A$1:'bd_bonos'!$A$28,0)-1,4)</f>
        <v>6.8399000000000001</v>
      </c>
      <c r="E30" s="33" t="str">
        <f ca="1">+OFFSET(bd_bonos!$A$1,MATCH(portafolio!$A30,bd_bonos!$A$1:'bd_bonos'!$A$28,0)-1,12)</f>
        <v>PEN</v>
      </c>
      <c r="F30" s="48">
        <f ca="1">+OFFSET(bd_bonos!$A$1,MATCH(portafolio!$A30,bd_bonos!$A$1:'bd_bonos'!$A$28,0)-1,32)/1000000</f>
        <v>1312.5386081199999</v>
      </c>
      <c r="G30" s="48">
        <f ca="1">+OFFSET(bd_bonos!$A$1,MATCH(portafolio!$A30,bd_bonos!$A$1:'bd_bonos'!$A$28,0)-1,33)/1000000</f>
        <v>1316.8954665899998</v>
      </c>
      <c r="H30" s="33">
        <f ca="1">+OFFSET(bd_bonos!$A$1,MATCH(portafolio!$A30,bd_bonos!$A$1:'bd_bonos'!$A$28,0)-1,6)</f>
        <v>2</v>
      </c>
      <c r="I30" s="33" t="str">
        <f ca="1">+OFFSET(bd_bonos!$A$1,MATCH(portafolio!$A30,bd_bonos!$A$1:'bd_bonos'!$A$28,0)-1,9)</f>
        <v>ACT/360</v>
      </c>
      <c r="J30" s="47">
        <f ca="1">+OFFSET(bd_bonos!$A$1,MATCH(portafolio!$A30,bd_bonos!$A$1:'bd_bonos'!$A$28,0)-1,21)</f>
        <v>2.0335999999999999</v>
      </c>
      <c r="K30" s="47">
        <f ca="1">+OFFSET(bd_bonos!$A$1,MATCH(portafolio!$A30,bd_bonos!$A$1:'bd_bonos'!$A$28,0)-1,20)</f>
        <v>125.78200000000001</v>
      </c>
      <c r="L30" s="51">
        <f ca="1">+OFFSET(bd_bonos!$A$1,MATCH(portafolio!$A30,bd_bonos!$A$1:'bd_bonos'!$A$28,0)-1,25)</f>
        <v>4.9253127936922336</v>
      </c>
      <c r="M30" s="51">
        <f ca="1">+OFFSET(bd_bonos!$A$1,MATCH(portafolio!$A30,bd_bonos!$A$1:'bd_bonos'!$A$28,0)-1,29)</f>
        <v>4.7270683693702269</v>
      </c>
      <c r="N30" s="51">
        <f ca="1">+(B30-resumen!$B$6)/365</f>
        <v>2.6958904109589041</v>
      </c>
      <c r="O30" s="57">
        <f ca="1">+OFFSET(bd_bonos!$A$1,MATCH(portafolio!$A30,bd_bonos!$A$1:'bd_bonos'!$A$28,0)-1,34)</f>
        <v>1.7851387362637363</v>
      </c>
    </row>
    <row r="31" spans="1:15">
      <c r="A31" s="45" t="s">
        <v>379</v>
      </c>
      <c r="B31" s="33" t="str">
        <f ca="1">+OFFSET(bd_bonos!$A$1,MATCH(portafolio!$A31,bd_bonos!$A$1:'bd_bonos'!$A$28,0)-1,11)</f>
        <v>12/02/2030</v>
      </c>
      <c r="C31" s="33" t="str">
        <f ca="1">OFFSET(bd_bonos!$A$1,MATCH(portafolio!$A31,bd_bonos!$A$1:'bd_bonos'!$A$28,0)-1,1)</f>
        <v>PEP01000C4U8</v>
      </c>
      <c r="D31" s="47">
        <f ca="1">+OFFSET(bd_bonos!$A$1,MATCH(portafolio!$A31,bd_bonos!$A$1:'bd_bonos'!$A$28,0)-1,4)</f>
        <v>2.8893</v>
      </c>
      <c r="E31" s="33" t="str">
        <f ca="1">+OFFSET(bd_bonos!$A$1,MATCH(portafolio!$A31,bd_bonos!$A$1:'bd_bonos'!$A$28,0)-1,12)</f>
        <v>PEN</v>
      </c>
      <c r="F31" s="48">
        <f ca="1">+OFFSET(bd_bonos!$A$1,MATCH(portafolio!$A31,bd_bonos!$A$1:'bd_bonos'!$A$28,0)-1,32)/1000000</f>
        <v>86.115555290000003</v>
      </c>
      <c r="G31" s="48">
        <f ca="1">+OFFSET(bd_bonos!$A$1,MATCH(portafolio!$A31,bd_bonos!$A$1:'bd_bonos'!$A$28,0)-1,33)/1000000</f>
        <v>86.401408439999997</v>
      </c>
      <c r="H31" s="33">
        <f ca="1">+OFFSET(bd_bonos!$A$1,MATCH(portafolio!$A31,bd_bonos!$A$1:'bd_bonos'!$A$28,0)-1,6)</f>
        <v>2</v>
      </c>
      <c r="I31" s="33" t="str">
        <f ca="1">+OFFSET(bd_bonos!$A$1,MATCH(portafolio!$A31,bd_bonos!$A$1:'bd_bonos'!$A$28,0)-1,9)</f>
        <v>ACT/360</v>
      </c>
      <c r="J31" s="47">
        <f ca="1">+OFFSET(bd_bonos!$A$1,MATCH(portafolio!$A31,bd_bonos!$A$1:'bd_bonos'!$A$28,0)-1,21)</f>
        <v>2.3816999999999999</v>
      </c>
      <c r="K31" s="47">
        <f ca="1">+OFFSET(bd_bonos!$A$1,MATCH(portafolio!$A31,bd_bonos!$A$1:'bd_bonos'!$A$28,0)-1,20)</f>
        <v>104.70650000000001</v>
      </c>
      <c r="L31" s="51">
        <f ca="1">+OFFSET(bd_bonos!$A$1,MATCH(portafolio!$A31,bd_bonos!$A$1:'bd_bonos'!$A$28,0)-1,25)</f>
        <v>9.6048428784279345</v>
      </c>
      <c r="M31" s="51">
        <f ca="1">+OFFSET(bd_bonos!$A$1,MATCH(portafolio!$A31,bd_bonos!$A$1:'bd_bonos'!$A$28,0)-1,29)</f>
        <v>9.189511516291784</v>
      </c>
      <c r="N31" s="51">
        <f ca="1">+(B31-resumen!$B$6)/365</f>
        <v>8.0328767123287665</v>
      </c>
      <c r="O31" s="57">
        <f ca="1">+OFFSET(bd_bonos!$A$1,MATCH(portafolio!$A31,bd_bonos!$A$1:'bd_bonos'!$A$28,0)-1,34)</f>
        <v>1.2326633152173914</v>
      </c>
    </row>
    <row r="32" spans="1:15">
      <c r="A32" s="45" t="s">
        <v>380</v>
      </c>
      <c r="B32" s="33" t="str">
        <f ca="1">+OFFSET(bd_bonos!$A$1,MATCH(portafolio!$A32,bd_bonos!$A$1:'bd_bonos'!$A$28,0)-1,11)</f>
        <v>31/01/2035</v>
      </c>
      <c r="C32" s="33" t="str">
        <f ca="1">OFFSET(bd_bonos!$A$1,MATCH(portafolio!$A32,bd_bonos!$A$1:'bd_bonos'!$A$28,0)-1,1)</f>
        <v>PEP01000CV85</v>
      </c>
      <c r="D32" s="47">
        <f ca="1">+OFFSET(bd_bonos!$A$1,MATCH(portafolio!$A32,bd_bonos!$A$1:'bd_bonos'!$A$28,0)-1,4)</f>
        <v>7.39</v>
      </c>
      <c r="E32" s="33" t="str">
        <f ca="1">+OFFSET(bd_bonos!$A$1,MATCH(portafolio!$A32,bd_bonos!$A$1:'bd_bonos'!$A$28,0)-1,12)</f>
        <v>PEN</v>
      </c>
      <c r="F32" s="48">
        <f ca="1">+OFFSET(bd_bonos!$A$1,MATCH(portafolio!$A32,bd_bonos!$A$1:'bd_bonos'!$A$28,0)-1,32)/1000000</f>
        <v>1348.66646818</v>
      </c>
      <c r="G32" s="48">
        <f ca="1">+OFFSET(bd_bonos!$A$1,MATCH(portafolio!$A32,bd_bonos!$A$1:'bd_bonos'!$A$28,0)-1,33)/1000000</f>
        <v>1353.1432499500002</v>
      </c>
      <c r="H32" s="33">
        <f ca="1">+OFFSET(bd_bonos!$A$1,MATCH(portafolio!$A32,bd_bonos!$A$1:'bd_bonos'!$A$28,0)-1,6)</f>
        <v>2</v>
      </c>
      <c r="I32" s="33" t="str">
        <f ca="1">+OFFSET(bd_bonos!$A$1,MATCH(portafolio!$A32,bd_bonos!$A$1:'bd_bonos'!$A$28,0)-1,9)</f>
        <v>ACT/360</v>
      </c>
      <c r="J32" s="47">
        <f ca="1">+OFFSET(bd_bonos!$A$1,MATCH(portafolio!$A32,bd_bonos!$A$1:'bd_bonos'!$A$28,0)-1,21)</f>
        <v>2.8609999999999998</v>
      </c>
      <c r="K32" s="47">
        <f ca="1">+OFFSET(bd_bonos!$A$1,MATCH(portafolio!$A32,bd_bonos!$A$1:'bd_bonos'!$A$28,0)-1,20)</f>
        <v>157.56700000000001</v>
      </c>
      <c r="L32" s="51">
        <f ca="1">+OFFSET(bd_bonos!$A$1,MATCH(portafolio!$A32,bd_bonos!$A$1:'bd_bonos'!$A$28,0)-1,25)</f>
        <v>10.806755522454061</v>
      </c>
      <c r="M32" s="51">
        <f ca="1">+OFFSET(bd_bonos!$A$1,MATCH(portafolio!$A32,bd_bonos!$A$1:'bd_bonos'!$A$28,0)-1,29)</f>
        <v>10.31110448707769</v>
      </c>
      <c r="N32" s="51">
        <f ca="1">+(B32-resumen!$B$6)/365</f>
        <v>13.002739726027396</v>
      </c>
      <c r="O32" s="57">
        <f ca="1">+OFFSET(bd_bonos!$A$1,MATCH(portafolio!$A32,bd_bonos!$A$1:'bd_bonos'!$A$28,0)-1,34)</f>
        <v>3.3937771739130431</v>
      </c>
    </row>
    <row r="33" spans="1:15">
      <c r="A33" s="45" t="s">
        <v>381</v>
      </c>
      <c r="B33" s="33" t="str">
        <f ca="1">+OFFSET(bd_bonos!$A$1,MATCH(portafolio!$A33,bd_bonos!$A$1:'bd_bonos'!$A$28,0)-1,11)</f>
        <v>12/02/2040</v>
      </c>
      <c r="C33" s="33" t="str">
        <f ca="1">OFFSET(bd_bonos!$A$1,MATCH(portafolio!$A33,bd_bonos!$A$1:'bd_bonos'!$A$28,0)-1,1)</f>
        <v>PEP01000C4V6</v>
      </c>
      <c r="D33" s="47">
        <f ca="1">+OFFSET(bd_bonos!$A$1,MATCH(portafolio!$A33,bd_bonos!$A$1:'bd_bonos'!$A$28,0)-1,4)</f>
        <v>3.1412</v>
      </c>
      <c r="E33" s="33" t="str">
        <f ca="1">+OFFSET(bd_bonos!$A$1,MATCH(portafolio!$A33,bd_bonos!$A$1:'bd_bonos'!$A$28,0)-1,12)</f>
        <v>PEN</v>
      </c>
      <c r="F33" s="48">
        <f ca="1">+OFFSET(bd_bonos!$A$1,MATCH(portafolio!$A33,bd_bonos!$A$1:'bd_bonos'!$A$28,0)-1,32)/1000000</f>
        <v>255.90511425999998</v>
      </c>
      <c r="G33" s="48">
        <f ca="1">+OFFSET(bd_bonos!$A$1,MATCH(portafolio!$A33,bd_bonos!$A$1:'bd_bonos'!$A$28,0)-1,33)/1000000</f>
        <v>256.75456916999997</v>
      </c>
      <c r="H33" s="33">
        <f ca="1">+OFFSET(bd_bonos!$A$1,MATCH(portafolio!$A33,bd_bonos!$A$1:'bd_bonos'!$A$28,0)-1,6)</f>
        <v>2</v>
      </c>
      <c r="I33" s="33" t="str">
        <f ca="1">+OFFSET(bd_bonos!$A$1,MATCH(portafolio!$A33,bd_bonos!$A$1:'bd_bonos'!$A$28,0)-1,9)</f>
        <v>ACT/360</v>
      </c>
      <c r="J33" s="47">
        <f ca="1">+OFFSET(bd_bonos!$A$1,MATCH(portafolio!$A33,bd_bonos!$A$1:'bd_bonos'!$A$28,0)-1,21)</f>
        <v>2.9901999999999997</v>
      </c>
      <c r="K33" s="47">
        <f ca="1">+OFFSET(bd_bonos!$A$1,MATCH(portafolio!$A33,bd_bonos!$A$1:'bd_bonos'!$A$28,0)-1,20)</f>
        <v>102.0085</v>
      </c>
      <c r="L33" s="51">
        <f ca="1">+OFFSET(bd_bonos!$A$1,MATCH(portafolio!$A33,bd_bonos!$A$1:'bd_bonos'!$A$28,0)-1,25)</f>
        <v>15.604520589279465</v>
      </c>
      <c r="M33" s="51">
        <f ca="1">+OFFSET(bd_bonos!$A$1,MATCH(portafolio!$A33,bd_bonos!$A$1:'bd_bonos'!$A$28,0)-1,29)</f>
        <v>14.855489966109941</v>
      </c>
      <c r="N33" s="51">
        <f ca="1">+(B33-resumen!$B$6)/365</f>
        <v>18.038356164383561</v>
      </c>
      <c r="O33" s="57">
        <f ca="1">+OFFSET(bd_bonos!$A$1,MATCH(portafolio!$A33,bd_bonos!$A$1:'bd_bonos'!$A$28,0)-1,34)</f>
        <v>1.3401315217391305</v>
      </c>
    </row>
    <row r="34" spans="1:15">
      <c r="A34" s="45" t="s">
        <v>382</v>
      </c>
      <c r="B34" s="33" t="str">
        <f ca="1">+OFFSET(bd_bonos!$A$1,MATCH(portafolio!$A34,bd_bonos!$A$1:'bd_bonos'!$A$28,0)-1,11)</f>
        <v>12/08/2046</v>
      </c>
      <c r="C34" s="33" t="str">
        <f ca="1">OFFSET(bd_bonos!$A$1,MATCH(portafolio!$A34,bd_bonos!$A$1:'bd_bonos'!$A$28,0)-1,1)</f>
        <v>PEP01000C1S8</v>
      </c>
      <c r="D34" s="47">
        <f ca="1">+OFFSET(bd_bonos!$A$1,MATCH(portafolio!$A34,bd_bonos!$A$1:'bd_bonos'!$A$28,0)-1,4)</f>
        <v>3.83</v>
      </c>
      <c r="E34" s="33" t="str">
        <f ca="1">+OFFSET(bd_bonos!$A$1,MATCH(portafolio!$A34,bd_bonos!$A$1:'bd_bonos'!$A$28,0)-1,12)</f>
        <v>PEN</v>
      </c>
      <c r="F34" s="48">
        <f ca="1">+OFFSET(bd_bonos!$A$1,MATCH(portafolio!$A34,bd_bonos!$A$1:'bd_bonos'!$A$28,0)-1,32)/1000000</f>
        <v>609.95335829999999</v>
      </c>
      <c r="G34" s="48">
        <f ca="1">+OFFSET(bd_bonos!$A$1,MATCH(portafolio!$A34,bd_bonos!$A$1:'bd_bonos'!$A$28,0)-1,33)/1000000</f>
        <v>611.97804575999999</v>
      </c>
      <c r="H34" s="33">
        <f ca="1">+OFFSET(bd_bonos!$A$1,MATCH(portafolio!$A34,bd_bonos!$A$1:'bd_bonos'!$A$28,0)-1,6)</f>
        <v>2</v>
      </c>
      <c r="I34" s="33" t="str">
        <f ca="1">+OFFSET(bd_bonos!$A$1,MATCH(portafolio!$A34,bd_bonos!$A$1:'bd_bonos'!$A$28,0)-1,9)</f>
        <v>ACT/360</v>
      </c>
      <c r="J34" s="47">
        <f ca="1">+OFFSET(bd_bonos!$A$1,MATCH(portafolio!$A34,bd_bonos!$A$1:'bd_bonos'!$A$28,0)-1,21)</f>
        <v>2.9664999999999999</v>
      </c>
      <c r="K34" s="47">
        <f ca="1">+OFFSET(bd_bonos!$A$1,MATCH(portafolio!$A34,bd_bonos!$A$1:'bd_bonos'!$A$28,0)-1,20)</f>
        <v>115.744</v>
      </c>
      <c r="L34" s="51">
        <f ca="1">+OFFSET(bd_bonos!$A$1,MATCH(portafolio!$A34,bd_bonos!$A$1:'bd_bonos'!$A$28,0)-1,25)</f>
        <v>17.910056604344121</v>
      </c>
      <c r="M34" s="51">
        <f ca="1">+OFFSET(bd_bonos!$A$1,MATCH(portafolio!$A34,bd_bonos!$A$1:'bd_bonos'!$A$28,0)-1,29)</f>
        <v>17.061748047687392</v>
      </c>
      <c r="N34" s="51">
        <f ca="1">+(B34-resumen!$B$6)/365</f>
        <v>24.539726027397261</v>
      </c>
      <c r="O34" s="57">
        <f ca="1">+OFFSET(bd_bonos!$A$1,MATCH(portafolio!$A34,bd_bonos!$A$1:'bd_bonos'!$A$28,0)-1,34)</f>
        <v>1.6339945652173913</v>
      </c>
    </row>
    <row r="35" spans="1:15">
      <c r="A35" s="45" t="s">
        <v>383</v>
      </c>
      <c r="B35" s="33" t="str">
        <f ca="1">+OFFSET(bd_bonos!$A$1,MATCH(portafolio!$A35,bd_bonos!$A$1:'bd_bonos'!$A$28,0)-1,11)</f>
        <v>12/02/2054</v>
      </c>
      <c r="C35" s="33" t="str">
        <f ca="1">OFFSET(bd_bonos!$A$1,MATCH(portafolio!$A35,bd_bonos!$A$1:'bd_bonos'!$A$28,0)-1,1)</f>
        <v>PEP01000C4T0</v>
      </c>
      <c r="D35" s="47">
        <f ca="1">+OFFSET(bd_bonos!$A$1,MATCH(portafolio!$A35,bd_bonos!$A$1:'bd_bonos'!$A$28,0)-1,4)</f>
        <v>3.2669000000000001</v>
      </c>
      <c r="E35" s="33" t="str">
        <f ca="1">+OFFSET(bd_bonos!$A$1,MATCH(portafolio!$A35,bd_bonos!$A$1:'bd_bonos'!$A$28,0)-1,12)</f>
        <v>PEN</v>
      </c>
      <c r="F35" s="48">
        <f ca="1">+OFFSET(bd_bonos!$A$1,MATCH(portafolio!$A35,bd_bonos!$A$1:'bd_bonos'!$A$28,0)-1,32)/1000000</f>
        <v>430.99720244000002</v>
      </c>
      <c r="G35" s="48">
        <f ca="1">+OFFSET(bd_bonos!$A$1,MATCH(portafolio!$A35,bd_bonos!$A$1:'bd_bonos'!$A$28,0)-1,33)/1000000</f>
        <v>432.42786039999999</v>
      </c>
      <c r="H35" s="33">
        <f ca="1">+OFFSET(bd_bonos!$A$1,MATCH(portafolio!$A35,bd_bonos!$A$1:'bd_bonos'!$A$28,0)-1,6)</f>
        <v>2</v>
      </c>
      <c r="I35" s="33" t="str">
        <f ca="1">+OFFSET(bd_bonos!$A$1,MATCH(portafolio!$A35,bd_bonos!$A$1:'bd_bonos'!$A$28,0)-1,9)</f>
        <v>ACT/360</v>
      </c>
      <c r="J35" s="47">
        <f ca="1">+OFFSET(bd_bonos!$A$1,MATCH(portafolio!$A35,bd_bonos!$A$1:'bd_bonos'!$A$28,0)-1,21)</f>
        <v>2.9340999999999999</v>
      </c>
      <c r="K35" s="47">
        <f ca="1">+OFFSET(bd_bonos!$A$1,MATCH(portafolio!$A35,bd_bonos!$A$1:'bd_bonos'!$A$28,0)-1,20)</f>
        <v>106.76599999999999</v>
      </c>
      <c r="L35" s="51">
        <f ca="1">+OFFSET(bd_bonos!$A$1,MATCH(portafolio!$A35,bd_bonos!$A$1:'bd_bonos'!$A$28,0)-1,25)</f>
        <v>21.546264951759564</v>
      </c>
      <c r="M35" s="51">
        <f ca="1">+OFFSET(bd_bonos!$A$1,MATCH(portafolio!$A35,bd_bonos!$A$1:'bd_bonos'!$A$28,0)-1,29)</f>
        <v>20.544499246126623</v>
      </c>
      <c r="N35" s="51">
        <f ca="1">+(B35-resumen!$B$6)/365</f>
        <v>32.049315068493151</v>
      </c>
      <c r="O35" s="57">
        <f ca="1">+OFFSET(bd_bonos!$A$1,MATCH(portafolio!$A35,bd_bonos!$A$1:'bd_bonos'!$A$28,0)-1,34)</f>
        <v>1.3937589673913044</v>
      </c>
    </row>
    <row r="36" spans="1:15">
      <c r="A36" s="29"/>
      <c r="B36" s="33"/>
      <c r="C36" s="33"/>
      <c r="D36" s="319" t="s">
        <v>387</v>
      </c>
      <c r="E36" s="319"/>
      <c r="F36" s="80">
        <f ca="1">+SUM(F30:F35)</f>
        <v>4044.17630659</v>
      </c>
      <c r="G36" s="80">
        <f ca="1">+SUM(G30:G35)</f>
        <v>4057.6006003100001</v>
      </c>
      <c r="H36" s="30"/>
      <c r="I36" s="30"/>
      <c r="J36" s="30"/>
      <c r="K36" s="81">
        <f ca="1">+SUMPRODUCT($G$30:$G$35,K$30:K$35)/$G$36</f>
        <v>130.88813754040561</v>
      </c>
      <c r="L36" s="82">
        <f t="shared" ref="L36:N36" ca="1" si="0">+SUMPRODUCT($G$30:$G$35,L$30:L$35)/$G$36</f>
        <v>11.39180159365919</v>
      </c>
      <c r="M36" s="82">
        <f t="shared" ca="1" si="0"/>
        <v>10.871224506951002</v>
      </c>
      <c r="N36" s="82">
        <f t="shared" ca="1" si="0"/>
        <v>13.640339045418903</v>
      </c>
      <c r="O36" s="57"/>
    </row>
    <row r="37" spans="1:15">
      <c r="A37" s="29"/>
      <c r="B37" s="33"/>
      <c r="C37" s="33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2"/>
    </row>
    <row r="38" spans="1:15">
      <c r="A38" s="36"/>
      <c r="B38" s="38"/>
      <c r="C38" s="38"/>
      <c r="D38" s="320" t="s">
        <v>386</v>
      </c>
      <c r="E38" s="320"/>
      <c r="F38" s="83" t="e">
        <f ca="1">+F18+F36+F28*mercados!$B$26</f>
        <v>#NAME?</v>
      </c>
      <c r="G38" s="83" t="e">
        <f ca="1">+G18+G36+G28*mercados!$B$26</f>
        <v>#NAME?</v>
      </c>
      <c r="H38" s="37"/>
      <c r="I38" s="37"/>
      <c r="J38" s="37"/>
      <c r="K38" s="37"/>
      <c r="L38" s="37"/>
      <c r="M38" s="37"/>
      <c r="N38" s="37"/>
      <c r="O38" s="39"/>
    </row>
  </sheetData>
  <mergeCells count="7">
    <mergeCell ref="D36:E36"/>
    <mergeCell ref="D38:E38"/>
    <mergeCell ref="C1:H2"/>
    <mergeCell ref="A4:C4"/>
    <mergeCell ref="A29:C29"/>
    <mergeCell ref="D18:E18"/>
    <mergeCell ref="D28:E28"/>
  </mergeCells>
  <pageMargins left="0.7" right="0.7" top="0.75" bottom="0.75" header="0.3" footer="0.3"/>
  <pageSetup paperSize="9" scale="77" fitToHeight="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rgb="FFED3237"/>
    <pageSetUpPr fitToPage="1"/>
  </sheetPr>
  <dimension ref="A1:HE112"/>
  <sheetViews>
    <sheetView tabSelected="1" zoomScaleNormal="100" workbookViewId="0">
      <selection activeCell="D17" sqref="D17"/>
    </sheetView>
  </sheetViews>
  <sheetFormatPr defaultColWidth="11.4609375" defaultRowHeight="14.6"/>
  <cols>
    <col min="1" max="1" width="11.15234375" style="102" bestFit="1" customWidth="1"/>
    <col min="2" max="2" width="12" style="102" bestFit="1" customWidth="1"/>
    <col min="3" max="3" width="5.4609375" style="1" customWidth="1"/>
    <col min="4" max="4" width="19.15234375" style="251" bestFit="1" customWidth="1"/>
    <col min="5" max="5" width="10.4609375" style="5" bestFit="1" customWidth="1"/>
    <col min="6" max="6" width="9.07421875" style="5" bestFit="1" customWidth="1"/>
    <col min="7" max="9" width="13.23046875" style="1" bestFit="1" customWidth="1"/>
    <col min="10" max="10" width="8.84375" style="1" bestFit="1" customWidth="1"/>
    <col min="11" max="11" width="10.69140625" style="1" bestFit="1" customWidth="1"/>
    <col min="12" max="13" width="13.23046875" style="1" bestFit="1" customWidth="1"/>
    <col min="14" max="14" width="12.15234375" style="1" bestFit="1" customWidth="1"/>
    <col min="15" max="15" width="13.53515625" style="1" bestFit="1" customWidth="1"/>
    <col min="16" max="16" width="9.23046875" style="1" bestFit="1" customWidth="1"/>
    <col min="17" max="17" width="9.4609375" style="1" bestFit="1" customWidth="1"/>
    <col min="18" max="18" width="7" style="1" bestFit="1" customWidth="1"/>
    <col min="19" max="19" width="19.15234375" style="5" bestFit="1" customWidth="1"/>
    <col min="20" max="20" width="10.4609375" style="1" bestFit="1" customWidth="1"/>
    <col min="21" max="21" width="6.84375" style="1" bestFit="1" customWidth="1"/>
    <col min="22" max="22" width="5.23046875" style="1" bestFit="1" customWidth="1"/>
    <col min="23" max="23" width="11.84375" style="149" bestFit="1" customWidth="1"/>
    <col min="24" max="24" width="7.4609375" style="149" bestFit="1" customWidth="1"/>
    <col min="25" max="25" width="7" style="149" bestFit="1" customWidth="1"/>
    <col min="26" max="26" width="4.4609375" style="149" bestFit="1" customWidth="1"/>
    <col min="27" max="28" width="7" style="1" bestFit="1" customWidth="1"/>
    <col min="29" max="29" width="6.4609375" style="1" bestFit="1" customWidth="1"/>
    <col min="30" max="30" width="7" style="1" bestFit="1" customWidth="1"/>
    <col min="31" max="16384" width="11.4609375" style="1"/>
  </cols>
  <sheetData>
    <row r="1" spans="1:35" ht="15" customHeight="1">
      <c r="A1" s="35"/>
      <c r="B1" s="35"/>
      <c r="C1" s="30"/>
      <c r="D1" s="322" t="s">
        <v>651</v>
      </c>
      <c r="E1" s="322"/>
      <c r="F1" s="322"/>
      <c r="G1" s="322"/>
      <c r="H1" s="322"/>
      <c r="I1" s="322"/>
      <c r="J1" s="322"/>
      <c r="K1" s="322"/>
      <c r="L1" s="322"/>
      <c r="M1" s="322"/>
      <c r="N1" s="126"/>
      <c r="O1" s="35"/>
      <c r="P1" s="136"/>
      <c r="X1" s="149" t="s">
        <v>365</v>
      </c>
      <c r="Y1" s="167">
        <v>102.55</v>
      </c>
      <c r="Z1" s="168">
        <v>0.623</v>
      </c>
      <c r="AA1" s="169">
        <v>43777</v>
      </c>
      <c r="AB1" s="170">
        <v>43798</v>
      </c>
      <c r="AC1" s="170">
        <v>43620</v>
      </c>
      <c r="AD1" s="248">
        <v>43626</v>
      </c>
    </row>
    <row r="2" spans="1:35" ht="15" customHeight="1">
      <c r="A2" s="35"/>
      <c r="B2" s="35"/>
      <c r="C2" s="31"/>
      <c r="D2" s="322"/>
      <c r="E2" s="322"/>
      <c r="F2" s="322"/>
      <c r="G2" s="322"/>
      <c r="H2" s="322"/>
      <c r="I2" s="322"/>
      <c r="J2" s="322"/>
      <c r="K2" s="322"/>
      <c r="L2" s="322"/>
      <c r="M2" s="322"/>
      <c r="N2" s="85"/>
      <c r="O2" s="35"/>
      <c r="P2" s="136"/>
      <c r="X2" s="148" t="s">
        <v>375</v>
      </c>
      <c r="Y2" s="171">
        <v>108.05</v>
      </c>
      <c r="Z2" s="172">
        <v>0.64243777963093829</v>
      </c>
      <c r="AA2" s="171">
        <v>3.3653</v>
      </c>
      <c r="AB2" s="171">
        <v>3.3815</v>
      </c>
      <c r="AC2" s="253">
        <v>3.34877</v>
      </c>
      <c r="AD2" s="149">
        <v>3.3345000000000002</v>
      </c>
      <c r="AE2" s="1">
        <v>3.3330000000000002</v>
      </c>
    </row>
    <row r="3" spans="1:35">
      <c r="A3" s="35"/>
      <c r="B3" s="35"/>
      <c r="C3" s="30"/>
      <c r="D3" s="90">
        <v>1</v>
      </c>
      <c r="E3" s="138"/>
      <c r="F3" s="138"/>
      <c r="G3" s="30"/>
      <c r="H3" s="30"/>
      <c r="I3" s="30"/>
      <c r="J3" s="30"/>
      <c r="K3" s="30"/>
      <c r="L3" s="138"/>
      <c r="M3" s="128"/>
      <c r="O3" s="35"/>
      <c r="P3" s="35"/>
      <c r="X3" s="148" t="s">
        <v>298</v>
      </c>
      <c r="Y3" s="171">
        <v>102.58</v>
      </c>
      <c r="Z3" s="172">
        <v>0.97630808907706179</v>
      </c>
      <c r="AA3" s="171">
        <v>3.8357000000000001</v>
      </c>
      <c r="AB3" s="171">
        <v>3.847</v>
      </c>
      <c r="AC3" s="253">
        <v>3.7679690286</v>
      </c>
      <c r="AD3" s="149">
        <v>3.7734000000000001</v>
      </c>
      <c r="AE3" s="1">
        <v>3.7585999999999999</v>
      </c>
    </row>
    <row r="4" spans="1:35">
      <c r="A4" s="285" t="s">
        <v>399</v>
      </c>
      <c r="B4" s="286">
        <v>43792</v>
      </c>
      <c r="C4" s="125"/>
      <c r="D4" s="329" t="s">
        <v>653</v>
      </c>
      <c r="E4" s="329"/>
      <c r="F4" s="329"/>
      <c r="G4" s="329"/>
      <c r="H4" s="329"/>
      <c r="I4" s="329"/>
      <c r="J4" s="329"/>
      <c r="K4" s="329"/>
      <c r="L4" s="329"/>
      <c r="M4" s="329"/>
      <c r="S4" s="326" t="s">
        <v>577</v>
      </c>
      <c r="T4" s="327"/>
      <c r="U4" s="327"/>
      <c r="V4" s="327"/>
      <c r="W4" s="328"/>
      <c r="X4" s="35"/>
      <c r="Y4" s="148"/>
      <c r="AA4" s="136"/>
      <c r="AB4" s="136"/>
    </row>
    <row r="5" spans="1:35">
      <c r="A5" s="287" t="s">
        <v>573</v>
      </c>
      <c r="B5" s="288">
        <f>IF(resumen!$B$5="","",resumen!$B$5)</f>
        <v>5</v>
      </c>
      <c r="C5" s="88"/>
      <c r="D5" s="262" t="s">
        <v>65</v>
      </c>
      <c r="E5" s="262" t="s">
        <v>152</v>
      </c>
      <c r="F5" s="262" t="s">
        <v>574</v>
      </c>
      <c r="G5" s="262" t="s">
        <v>400</v>
      </c>
      <c r="H5" s="262" t="s">
        <v>575</v>
      </c>
      <c r="I5" s="262" t="s">
        <v>396</v>
      </c>
      <c r="J5" s="262" t="s">
        <v>408</v>
      </c>
      <c r="K5" s="262" t="s">
        <v>409</v>
      </c>
      <c r="L5" s="262" t="s">
        <v>576</v>
      </c>
      <c r="M5" s="262" t="s">
        <v>378</v>
      </c>
      <c r="S5" s="281" t="s">
        <v>65</v>
      </c>
      <c r="T5" s="210" t="s">
        <v>152</v>
      </c>
      <c r="U5" s="210" t="s">
        <v>574</v>
      </c>
      <c r="V5" s="210" t="s">
        <v>400</v>
      </c>
      <c r="W5" s="282" t="s">
        <v>392</v>
      </c>
      <c r="X5" s="35"/>
      <c r="Y5" s="148"/>
      <c r="AA5" s="136"/>
      <c r="AB5" s="136"/>
    </row>
    <row r="6" spans="1:35">
      <c r="A6" s="289" t="s">
        <v>398</v>
      </c>
      <c r="B6" s="290">
        <f>WORKDAY($B$4,$B$5)</f>
        <v>43798</v>
      </c>
      <c r="C6" s="85"/>
      <c r="D6" s="173" t="s">
        <v>116</v>
      </c>
      <c r="E6" s="258" t="str">
        <f ca="1">IF($D6="","",OFFSET(bd_bonos!$A$1,MATCH(intercambio!$D6,bd_bonos!$A$1:$A$28,0)-1,11))</f>
        <v>12/08/2020</v>
      </c>
      <c r="F6" s="204">
        <f ca="1">IF($D6="","",OFFSET(bd_bonos!$A$1,MATCH(intercambio!$D6,bd_bonos!$A$1:$A$28,0)-1,4))</f>
        <v>7.84</v>
      </c>
      <c r="G6" s="181" t="str">
        <f ca="1">IF($D6="","",OFFSET(bd_bonos!$A$1,MATCH(intercambio!$D6,bd_bonos!$A$1:$A$28,0)-1,12))</f>
        <v>PEN</v>
      </c>
      <c r="H6" s="259">
        <f ca="1">IF($D6="","",OFFSET(bd_bonos!$A$1,MATCH(intercambio!$D6,bd_bonos!$A$1:$A$28,0)-1,32))</f>
        <v>1573592000</v>
      </c>
      <c r="I6" s="259">
        <f ca="1">IF($D6="","",OFFSET(bd_bonos!$A$1,MATCH(intercambio!$D6,bd_bonos!$A$1:$A$28,0)-1,33))</f>
        <v>1573592000</v>
      </c>
      <c r="J6" s="260">
        <f ca="1">IF($D6="","",OFFSET(bd_historicas!$A$1,MATCH(intercambio!$D6,bd_historicas!$D:$D,0)+3,MATCH(intercambio!$J$5,bd_historicas!$D$4:$J$4,0)+2))</f>
        <v>105.985</v>
      </c>
      <c r="K6" s="260">
        <f ca="1">IF($D6="","",OFFSET(bd_historicas!$A$1,MATCH(intercambio!$D6,bd_historicas!$D:$D,0)+3,MATCH(intercambio!$K$5,bd_historicas!$D$4:$J$4,0)+2))</f>
        <v>2.508</v>
      </c>
      <c r="L6" s="261">
        <f ca="1">IF($D6="","",DURATION($B$6,$E6,$F6/100,$K6/100,2,0))</f>
        <v>0.68438317299206308</v>
      </c>
      <c r="M6" s="261">
        <f ca="1">IF($D6="","",MDURATION($B$6,$E6,$F6/100,$K6/100,2,0))</f>
        <v>0.67590729550641271</v>
      </c>
      <c r="N6" s="85"/>
      <c r="O6" s="85"/>
      <c r="P6" s="85"/>
      <c r="Q6" s="85"/>
      <c r="S6" s="304" t="s">
        <v>116</v>
      </c>
      <c r="T6" s="305" t="str">
        <f ca="1">OFFSET(bd_bonos!$A$1,MATCH(intercambio!$S6,bd_bonos!$A$1:$A$28,0)-1,11)</f>
        <v>12/08/2020</v>
      </c>
      <c r="U6" s="305">
        <f ca="1">OFFSET(bd_bonos!$A$1,MATCH(intercambio!$S6,bd_bonos!$A$1:$A$28,0)-1,4)</f>
        <v>7.84</v>
      </c>
      <c r="V6" s="305" t="str">
        <f ca="1">OFFSET(bd_bonos!$A$1,MATCH(intercambio!$S6,bd_bonos!$A$1:$A$28,0)-1,12)</f>
        <v>PEN</v>
      </c>
      <c r="W6" s="306">
        <f ca="1">OFFSET(bd_bonos!$A$1,MATCH(intercambio!$S6,bd_bonos!$A$1:$A$28,0)-1,33)/1000000</f>
        <v>1573.5920000000001</v>
      </c>
      <c r="X6" s="35"/>
      <c r="Y6" s="148"/>
      <c r="AA6" s="136"/>
      <c r="AB6" s="136"/>
    </row>
    <row r="7" spans="1:35">
      <c r="A7" s="74"/>
      <c r="B7" s="35"/>
      <c r="C7" s="85"/>
      <c r="D7" s="173" t="s">
        <v>117</v>
      </c>
      <c r="E7" s="258" t="str">
        <f ca="1">IF($D7="","",OFFSET(bd_bonos!$A$1,MATCH(intercambio!$D7,bd_bonos!$A$1:$A$28,0)-1,11))</f>
        <v>12/09/2023</v>
      </c>
      <c r="F7" s="204">
        <f ca="1">IF($D7="","",OFFSET(bd_bonos!$A$1,MATCH(intercambio!$D7,bd_bonos!$A$1:$A$28,0)-1,4))</f>
        <v>5.2</v>
      </c>
      <c r="G7" s="181" t="str">
        <f ca="1">IF($D7="","",OFFSET(bd_bonos!$A$1,MATCH(intercambio!$D7,bd_bonos!$A$1:$A$28,0)-1,12))</f>
        <v>PEN</v>
      </c>
      <c r="H7" s="259">
        <f ca="1">IF($D7="","",OFFSET(bd_bonos!$A$1,MATCH(intercambio!$D7,bd_bonos!$A$1:$A$28,0)-1,32))</f>
        <v>5738504000</v>
      </c>
      <c r="I7" s="259">
        <f ca="1">IF($D7="","",OFFSET(bd_bonos!$A$1,MATCH(intercambio!$D7,bd_bonos!$A$1:$A$28,0)-1,33))</f>
        <v>5886504000</v>
      </c>
      <c r="J7" s="260">
        <f ca="1">IF($D7="","",OFFSET(bd_historicas!$A$1,MATCH(intercambio!$D7,bd_historicas!$D:$D,0)+3,MATCH(intercambio!$J$5,bd_historicas!$D$4:$J$4,0)+2))</f>
        <v>107.224</v>
      </c>
      <c r="K7" s="260">
        <f ca="1">IF($D7="","",OFFSET(bd_historicas!$A$1,MATCH(intercambio!$D7,bd_historicas!$D:$D,0)+3,MATCH(intercambio!$K$5,bd_historicas!$D$4:$J$4,0)+2))</f>
        <v>3.331</v>
      </c>
      <c r="L7" s="261">
        <f ca="1">IF($D7="","",DURATION($B$6,$E7,$F7/100,$K7/100,2,0))</f>
        <v>3.4620737360753302</v>
      </c>
      <c r="M7" s="261">
        <f ca="1">IF($D7="","",MDURATION($B$6,$E7,$F7/100,$K7/100,2,0))</f>
        <v>3.4053575067995827</v>
      </c>
      <c r="N7" s="85"/>
      <c r="O7" s="85"/>
      <c r="P7" s="85"/>
      <c r="Q7" s="85"/>
      <c r="S7" s="304" t="s">
        <v>117</v>
      </c>
      <c r="T7" s="305" t="str">
        <f ca="1">OFFSET(bd_bonos!$A$1,MATCH(intercambio!$S7,bd_bonos!$A$1:$A$28,0)-1,11)</f>
        <v>12/09/2023</v>
      </c>
      <c r="U7" s="305">
        <f ca="1">OFFSET(bd_bonos!$A$1,MATCH(intercambio!$S7,bd_bonos!$A$1:$A$28,0)-1,4)</f>
        <v>5.2</v>
      </c>
      <c r="V7" s="305" t="str">
        <f ca="1">OFFSET(bd_bonos!$A$1,MATCH(intercambio!$S7,bd_bonos!$A$1:$A$28,0)-1,12)</f>
        <v>PEN</v>
      </c>
      <c r="W7" s="306">
        <f ca="1">OFFSET(bd_bonos!$A$1,MATCH(intercambio!$S7,bd_bonos!$A$1:$A$28,0)-1,33)/1000000</f>
        <v>5886.5039999999999</v>
      </c>
      <c r="X7" s="35"/>
      <c r="Y7" s="148"/>
    </row>
    <row r="8" spans="1:35">
      <c r="A8" s="211" t="s">
        <v>652</v>
      </c>
      <c r="B8" s="212" t="s">
        <v>104</v>
      </c>
      <c r="C8" s="85"/>
      <c r="D8" s="173" t="s">
        <v>118</v>
      </c>
      <c r="E8" s="258" t="str">
        <f ca="1">IF($D8="","",OFFSET(bd_bonos!$A$1,MATCH(intercambio!$D8,bd_bonos!$A$1:$A$28,0)-1,11))</f>
        <v>12/08/2024</v>
      </c>
      <c r="F8" s="204">
        <f ca="1">IF($D8="","",OFFSET(bd_bonos!$A$1,MATCH(intercambio!$D8,bd_bonos!$A$1:$A$28,0)-1,4))</f>
        <v>5.7</v>
      </c>
      <c r="G8" s="181" t="str">
        <f ca="1">IF($D8="","",OFFSET(bd_bonos!$A$1,MATCH(intercambio!$D8,bd_bonos!$A$1:$A$28,0)-1,12))</f>
        <v>PEN</v>
      </c>
      <c r="H8" s="259">
        <f ca="1">IF($D8="","",OFFSET(bd_bonos!$A$1,MATCH(intercambio!$D8,bd_bonos!$A$1:$A$28,0)-1,32))</f>
        <v>11030648000</v>
      </c>
      <c r="I8" s="259">
        <f ca="1">IF($D8="","",OFFSET(bd_bonos!$A$1,MATCH(intercambio!$D8,bd_bonos!$A$1:$A$28,0)-1,33))</f>
        <v>11278348000</v>
      </c>
      <c r="J8" s="260">
        <f ca="1">IF($D8="","",OFFSET(bd_historicas!$A$1,MATCH(intercambio!$D8,bd_historicas!$D:$D,0)+3,MATCH(intercambio!$J$5,bd_historicas!$D$4:$J$4,0)+2))</f>
        <v>109.446</v>
      </c>
      <c r="K8" s="260">
        <f ca="1">IF($D8="","",OFFSET(bd_historicas!$A$1,MATCH(intercambio!$D8,bd_historicas!$D:$D,0)+3,MATCH(intercambio!$K$5,bd_historicas!$D$4:$J$4,0)+2))</f>
        <v>3.649</v>
      </c>
      <c r="L8" s="261">
        <f ca="1">IF($D8="","",DURATION($B$6,$E8,$F8/100,$K8/100,2,0))</f>
        <v>4.1532716029551651</v>
      </c>
      <c r="M8" s="261">
        <f ca="1">IF($D8="","",MDURATION($B$6,$E8,$F8/100,$K8/100,2,0))</f>
        <v>4.0788529312249651</v>
      </c>
      <c r="N8" s="85"/>
      <c r="O8" s="85"/>
      <c r="P8" s="85"/>
      <c r="Q8" s="85"/>
      <c r="S8" s="304" t="s">
        <v>118</v>
      </c>
      <c r="T8" s="305" t="str">
        <f ca="1">OFFSET(bd_bonos!$A$1,MATCH(intercambio!$S8,bd_bonos!$A$1:$A$28,0)-1,11)</f>
        <v>12/08/2024</v>
      </c>
      <c r="U8" s="305">
        <f ca="1">OFFSET(bd_bonos!$A$1,MATCH(intercambio!$S8,bd_bonos!$A$1:$A$28,0)-1,4)</f>
        <v>5.7</v>
      </c>
      <c r="V8" s="305" t="str">
        <f ca="1">OFFSET(bd_bonos!$A$1,MATCH(intercambio!$S8,bd_bonos!$A$1:$A$28,0)-1,12)</f>
        <v>PEN</v>
      </c>
      <c r="W8" s="306">
        <f ca="1">OFFSET(bd_bonos!$A$1,MATCH(intercambio!$S8,bd_bonos!$A$1:$A$28,0)-1,33)/1000000</f>
        <v>11278.348</v>
      </c>
      <c r="X8" s="35"/>
      <c r="Y8" s="148"/>
    </row>
    <row r="9" spans="1:35">
      <c r="A9" s="35"/>
      <c r="B9" s="3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S9" s="304" t="s">
        <v>119</v>
      </c>
      <c r="T9" s="305" t="str">
        <f ca="1">OFFSET(bd_bonos!$A$1,MATCH(intercambio!$S9,bd_bonos!$A$1:$A$28,0)-1,11)</f>
        <v>12/08/2026</v>
      </c>
      <c r="U9" s="305">
        <f ca="1">OFFSET(bd_bonos!$A$1,MATCH(intercambio!$S9,bd_bonos!$A$1:$A$28,0)-1,4)</f>
        <v>8.1999999999999993</v>
      </c>
      <c r="V9" s="305" t="str">
        <f ca="1">OFFSET(bd_bonos!$A$1,MATCH(intercambio!$S9,bd_bonos!$A$1:$A$28,0)-1,12)</f>
        <v>PEN</v>
      </c>
      <c r="W9" s="306">
        <f ca="1">OFFSET(bd_bonos!$A$1,MATCH(intercambio!$S9,bd_bonos!$A$1:$A$28,0)-1,33)/1000000</f>
        <v>12515.34</v>
      </c>
      <c r="X9" s="35"/>
      <c r="Y9" s="148"/>
    </row>
    <row r="10" spans="1:35">
      <c r="A10" s="291" t="s">
        <v>418</v>
      </c>
      <c r="B10" s="292" t="e">
        <f ca="1">bdh("USDPEN Curncy","PX_LAST",$B$4,$B$4)</f>
        <v>#NAME?</v>
      </c>
      <c r="C10" s="85"/>
      <c r="D10" s="325" t="s">
        <v>631</v>
      </c>
      <c r="E10" s="332"/>
      <c r="F10" s="332"/>
      <c r="G10" s="332"/>
      <c r="H10" s="332"/>
      <c r="I10" s="332"/>
      <c r="J10" s="332"/>
      <c r="K10" s="85"/>
      <c r="L10" s="85"/>
      <c r="M10" s="85"/>
      <c r="N10" s="85"/>
      <c r="O10" s="85"/>
      <c r="P10" s="85"/>
      <c r="Q10" s="85"/>
      <c r="S10" s="304" t="s">
        <v>120</v>
      </c>
      <c r="T10" s="305" t="str">
        <f ca="1">OFFSET(bd_bonos!$A$1,MATCH(intercambio!$S10,bd_bonos!$A$1:$A$28,0)-1,11)</f>
        <v>12/08/2028</v>
      </c>
      <c r="U10" s="305">
        <f ca="1">OFFSET(bd_bonos!$A$1,MATCH(intercambio!$S10,bd_bonos!$A$1:$A$28,0)-1,4)</f>
        <v>6.35</v>
      </c>
      <c r="V10" s="305" t="str">
        <f ca="1">OFFSET(bd_bonos!$A$1,MATCH(intercambio!$S10,bd_bonos!$A$1:$A$28,0)-1,12)</f>
        <v>PEN</v>
      </c>
      <c r="W10" s="306">
        <f ca="1">OFFSET(bd_bonos!$A$1,MATCH(intercambio!$S10,bd_bonos!$A$1:$A$28,0)-1,33)/1000000</f>
        <v>14471.16</v>
      </c>
      <c r="X10" s="35"/>
      <c r="Y10" s="148"/>
    </row>
    <row r="11" spans="1:35">
      <c r="A11" s="293" t="s">
        <v>578</v>
      </c>
      <c r="B11" s="294" t="e">
        <f ca="1">bdh("EURPEN Curncy","PX_LAST",$B$4,$B$4)</f>
        <v>#NAME?</v>
      </c>
      <c r="C11" s="85"/>
      <c r="D11" s="262" t="s">
        <v>402</v>
      </c>
      <c r="E11" s="262" t="s">
        <v>400</v>
      </c>
      <c r="F11" s="262" t="s">
        <v>632</v>
      </c>
      <c r="G11" s="262" t="s">
        <v>584</v>
      </c>
      <c r="H11" s="262" t="s">
        <v>633</v>
      </c>
      <c r="I11" s="262" t="s">
        <v>634</v>
      </c>
      <c r="J11" s="262" t="s">
        <v>635</v>
      </c>
      <c r="K11" s="262" t="s">
        <v>585</v>
      </c>
      <c r="L11" s="262" t="s">
        <v>636</v>
      </c>
      <c r="M11" s="262" t="s">
        <v>637</v>
      </c>
      <c r="N11" s="85"/>
      <c r="O11" s="85"/>
      <c r="P11" s="85"/>
      <c r="Q11" s="85"/>
      <c r="S11" s="304" t="s">
        <v>121</v>
      </c>
      <c r="T11" s="305" t="str">
        <f ca="1">OFFSET(bd_bonos!$A$1,MATCH(intercambio!$S11,bd_bonos!$A$1:$A$28,0)-1,11)</f>
        <v>12/02/2029</v>
      </c>
      <c r="U11" s="305">
        <f ca="1">OFFSET(bd_bonos!$A$1,MATCH(intercambio!$S11,bd_bonos!$A$1:$A$28,0)-1,4)</f>
        <v>6</v>
      </c>
      <c r="V11" s="305" t="str">
        <f ca="1">OFFSET(bd_bonos!$A$1,MATCH(intercambio!$S11,bd_bonos!$A$1:$A$28,0)-1,12)</f>
        <v>PEN</v>
      </c>
      <c r="W11" s="306">
        <f ca="1">OFFSET(bd_bonos!$A$1,MATCH(intercambio!$S11,bd_bonos!$A$1:$A$28,0)-1,33)/1000000</f>
        <v>165.26400000000001</v>
      </c>
      <c r="X11" s="35"/>
      <c r="Y11" s="148"/>
    </row>
    <row r="12" spans="1:35">
      <c r="A12" s="35"/>
      <c r="B12" s="35"/>
      <c r="C12" s="85"/>
      <c r="D12" s="181" t="str">
        <f>$D6</f>
        <v>Bono soberano 2020</v>
      </c>
      <c r="E12" s="181" t="str">
        <f ca="1">$G6</f>
        <v>PEN</v>
      </c>
      <c r="F12" s="263">
        <v>1</v>
      </c>
      <c r="G12" s="259">
        <f ca="1">$I6*$F12</f>
        <v>1573592000</v>
      </c>
      <c r="H12" s="264">
        <v>10</v>
      </c>
      <c r="I12" s="274">
        <f ca="1">$J6+$H12/100</f>
        <v>106.08499999999999</v>
      </c>
      <c r="J12" s="274">
        <f ca="1">$J6</f>
        <v>105.985</v>
      </c>
      <c r="K12" s="259">
        <f ca="1">$G12*$F6/100</f>
        <v>123369612.8</v>
      </c>
      <c r="L12" s="267">
        <f ca="1">(($J12-$I12)/100)*$G12</f>
        <v>-1573591.9999999106</v>
      </c>
      <c r="M12" s="267">
        <f ca="1">($I12/100)*$G12</f>
        <v>1669345073.1999998</v>
      </c>
      <c r="N12" s="85"/>
      <c r="O12" s="85"/>
      <c r="P12" s="85"/>
      <c r="Q12" s="85"/>
      <c r="S12" s="304" t="s">
        <v>127</v>
      </c>
      <c r="T12" s="305" t="str">
        <f ca="1">OFFSET(bd_bonos!$A$1,MATCH(intercambio!$S12,bd_bonos!$A$1:$A$28,0)-1,11)</f>
        <v>12/02/2029</v>
      </c>
      <c r="U12" s="305">
        <f ca="1">OFFSET(bd_bonos!$A$1,MATCH(intercambio!$S12,bd_bonos!$A$1:$A$28,0)-1,4)</f>
        <v>5.94</v>
      </c>
      <c r="V12" s="305" t="str">
        <f ca="1">OFFSET(bd_bonos!$A$1,MATCH(intercambio!$S12,bd_bonos!$A$1:$A$28,0)-1,12)</f>
        <v>PEN</v>
      </c>
      <c r="W12" s="306">
        <f ca="1">OFFSET(bd_bonos!$A$1,MATCH(intercambio!$S12,bd_bonos!$A$1:$A$28,0)-1,33)/1000000</f>
        <v>12025</v>
      </c>
      <c r="X12" s="35"/>
      <c r="Y12" s="148"/>
      <c r="AI12" s="250"/>
    </row>
    <row r="13" spans="1:35">
      <c r="A13" s="330" t="s">
        <v>579</v>
      </c>
      <c r="B13" s="331"/>
      <c r="C13" s="85"/>
      <c r="D13" s="181" t="str">
        <f>$D7</f>
        <v>Bono soberano 2023</v>
      </c>
      <c r="E13" s="181" t="str">
        <f ca="1">$G7</f>
        <v>PEN</v>
      </c>
      <c r="F13" s="263">
        <v>1</v>
      </c>
      <c r="G13" s="259">
        <f ca="1">$I7*$F13</f>
        <v>5886504000</v>
      </c>
      <c r="H13" s="264">
        <v>10</v>
      </c>
      <c r="I13" s="274">
        <f ca="1">$J7+$H13/100</f>
        <v>107.324</v>
      </c>
      <c r="J13" s="274">
        <f ca="1">$J7</f>
        <v>107.224</v>
      </c>
      <c r="K13" s="259">
        <f ca="1">$G13*$F7/100</f>
        <v>306098208</v>
      </c>
      <c r="L13" s="267">
        <f ca="1">(($J13-$I13)/100)*$G13</f>
        <v>-5886503.9999996657</v>
      </c>
      <c r="M13" s="267">
        <f ca="1">($I13/100)*$G13</f>
        <v>6317631552.96</v>
      </c>
      <c r="N13" s="85"/>
      <c r="O13" s="85"/>
      <c r="P13" s="85"/>
      <c r="Q13" s="85"/>
      <c r="S13" s="304" t="s">
        <v>122</v>
      </c>
      <c r="T13" s="305" t="str">
        <f ca="1">OFFSET(bd_bonos!$A$1,MATCH(intercambio!$S13,bd_bonos!$A$1:$A$28,0)-1,11)</f>
        <v>12/08/2031</v>
      </c>
      <c r="U13" s="305">
        <f ca="1">OFFSET(bd_bonos!$A$1,MATCH(intercambio!$S13,bd_bonos!$A$1:$A$28,0)-1,4)</f>
        <v>6.95</v>
      </c>
      <c r="V13" s="305" t="str">
        <f ca="1">OFFSET(bd_bonos!$A$1,MATCH(intercambio!$S13,bd_bonos!$A$1:$A$28,0)-1,12)</f>
        <v>PEN</v>
      </c>
      <c r="W13" s="306">
        <f ca="1">OFFSET(bd_bonos!$A$1,MATCH(intercambio!$S13,bd_bonos!$A$1:$A$28,0)-1,33)/1000000</f>
        <v>14292.244000000001</v>
      </c>
      <c r="X13" s="35"/>
      <c r="Y13" s="148"/>
    </row>
    <row r="14" spans="1:35">
      <c r="A14" s="295" t="s">
        <v>580</v>
      </c>
      <c r="B14" s="297">
        <f t="shared" ref="B14:B16" si="0">WORKDAY($B$4,0)</f>
        <v>43792</v>
      </c>
      <c r="C14" s="85"/>
      <c r="D14" s="181" t="str">
        <f>$D8</f>
        <v>Bono soberano 2024</v>
      </c>
      <c r="E14" s="181" t="str">
        <f ca="1">$G8</f>
        <v>PEN</v>
      </c>
      <c r="F14" s="263">
        <v>1</v>
      </c>
      <c r="G14" s="259">
        <f ca="1">$I8*$F14</f>
        <v>11278348000</v>
      </c>
      <c r="H14" s="264">
        <v>10</v>
      </c>
      <c r="I14" s="274">
        <f ca="1">$J8+$H14/100</f>
        <v>109.54599999999999</v>
      </c>
      <c r="J14" s="274">
        <f ca="1">$J8</f>
        <v>109.446</v>
      </c>
      <c r="K14" s="259">
        <f ca="1">$G14*$F8/100</f>
        <v>642865836</v>
      </c>
      <c r="L14" s="267">
        <f ca="1">(($J14-$I14)/100)*$G14</f>
        <v>-11278347.999999359</v>
      </c>
      <c r="M14" s="267">
        <f ca="1">($I14/100)*$G14</f>
        <v>12354979100.079998</v>
      </c>
      <c r="N14" s="85"/>
      <c r="O14" s="85"/>
      <c r="P14" s="85"/>
      <c r="Q14" s="85"/>
      <c r="S14" s="304" t="s">
        <v>123</v>
      </c>
      <c r="T14" s="305" t="str">
        <f ca="1">OFFSET(bd_bonos!$A$1,MATCH(intercambio!$S14,bd_bonos!$A$1:$A$28,0)-1,11)</f>
        <v>12/08/2032</v>
      </c>
      <c r="U14" s="305">
        <f ca="1">OFFSET(bd_bonos!$A$1,MATCH(intercambio!$S14,bd_bonos!$A$1:$A$28,0)-1,4)</f>
        <v>6.15</v>
      </c>
      <c r="V14" s="305" t="str">
        <f ca="1">OFFSET(bd_bonos!$A$1,MATCH(intercambio!$S14,bd_bonos!$A$1:$A$28,0)-1,12)</f>
        <v>PEN</v>
      </c>
      <c r="W14" s="306">
        <f ca="1">OFFSET(bd_bonos!$A$1,MATCH(intercambio!$S14,bd_bonos!$A$1:$A$28,0)-1,33)/1000000</f>
        <v>13113.207</v>
      </c>
      <c r="X14" s="35"/>
      <c r="Y14" s="148"/>
    </row>
    <row r="15" spans="1:35">
      <c r="A15" s="295" t="s">
        <v>581</v>
      </c>
      <c r="B15" s="298">
        <f t="shared" si="0"/>
        <v>43792</v>
      </c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S15" s="304" t="s">
        <v>124</v>
      </c>
      <c r="T15" s="305" t="str">
        <f ca="1">OFFSET(bd_bonos!$A$1,MATCH(intercambio!$S15,bd_bonos!$A$1:$A$28,0)-1,11)</f>
        <v>12/08/2037</v>
      </c>
      <c r="U15" s="305">
        <f ca="1">OFFSET(bd_bonos!$A$1,MATCH(intercambio!$S15,bd_bonos!$A$1:$A$28,0)-1,4)</f>
        <v>6.9</v>
      </c>
      <c r="V15" s="305" t="str">
        <f ca="1">OFFSET(bd_bonos!$A$1,MATCH(intercambio!$S15,bd_bonos!$A$1:$A$28,0)-1,12)</f>
        <v>PEN</v>
      </c>
      <c r="W15" s="306">
        <f ca="1">OFFSET(bd_bonos!$A$1,MATCH(intercambio!$S15,bd_bonos!$A$1:$A$28,0)-1,33)/1000000</f>
        <v>11665.414000000001</v>
      </c>
      <c r="X15" s="35"/>
      <c r="Y15" s="148"/>
    </row>
    <row r="16" spans="1:35">
      <c r="A16" s="296" t="s">
        <v>582</v>
      </c>
      <c r="B16" s="299">
        <f t="shared" si="0"/>
        <v>43792</v>
      </c>
      <c r="C16" s="85"/>
      <c r="D16" s="325" t="s">
        <v>638</v>
      </c>
      <c r="E16" s="332"/>
      <c r="F16" s="332"/>
      <c r="G16" s="332"/>
      <c r="H16" s="332"/>
      <c r="I16" s="332"/>
      <c r="J16" s="332"/>
      <c r="K16" s="332"/>
      <c r="L16" s="332"/>
      <c r="M16" s="332"/>
      <c r="N16" s="332"/>
      <c r="O16" s="85"/>
      <c r="P16" s="85"/>
      <c r="Q16" s="85"/>
      <c r="S16" s="304" t="s">
        <v>125</v>
      </c>
      <c r="T16" s="305" t="str">
        <f ca="1">OFFSET(bd_bonos!$A$1,MATCH(intercambio!$S16,bd_bonos!$A$1:$A$28,0)-1,11)</f>
        <v>12/02/2042</v>
      </c>
      <c r="U16" s="305">
        <f ca="1">OFFSET(bd_bonos!$A$1,MATCH(intercambio!$S16,bd_bonos!$A$1:$A$28,0)-1,4)</f>
        <v>6.85</v>
      </c>
      <c r="V16" s="305" t="str">
        <f ca="1">OFFSET(bd_bonos!$A$1,MATCH(intercambio!$S16,bd_bonos!$A$1:$A$28,0)-1,12)</f>
        <v>PEN</v>
      </c>
      <c r="W16" s="306">
        <f ca="1">OFFSET(bd_bonos!$A$1,MATCH(intercambio!$S16,bd_bonos!$A$1:$A$28,0)-1,33)/1000000</f>
        <v>4443.473</v>
      </c>
      <c r="X16" s="35"/>
      <c r="Y16" s="148"/>
    </row>
    <row r="17" spans="1:213">
      <c r="A17" s="35"/>
      <c r="B17" s="252"/>
      <c r="C17" s="85"/>
      <c r="D17" s="262" t="s">
        <v>402</v>
      </c>
      <c r="E17" s="262" t="s">
        <v>400</v>
      </c>
      <c r="F17" s="262" t="s">
        <v>632</v>
      </c>
      <c r="G17" s="262" t="s">
        <v>639</v>
      </c>
      <c r="H17" s="262" t="s">
        <v>584</v>
      </c>
      <c r="I17" s="262" t="s">
        <v>633</v>
      </c>
      <c r="J17" s="262" t="s">
        <v>634</v>
      </c>
      <c r="K17" s="262" t="s">
        <v>635</v>
      </c>
      <c r="L17" s="262" t="s">
        <v>640</v>
      </c>
      <c r="M17" s="262" t="s">
        <v>585</v>
      </c>
      <c r="N17" s="262" t="s">
        <v>636</v>
      </c>
      <c r="O17" s="262" t="s">
        <v>637</v>
      </c>
      <c r="P17" s="85"/>
      <c r="Q17" s="85"/>
      <c r="S17" s="304" t="s">
        <v>126</v>
      </c>
      <c r="T17" s="305" t="str">
        <f ca="1">OFFSET(bd_bonos!$A$1,MATCH(intercambio!$S17,bd_bonos!$A$1:$A$28,0)-1,11)</f>
        <v>12/02/2055</v>
      </c>
      <c r="U17" s="305">
        <f ca="1">OFFSET(bd_bonos!$A$1,MATCH(intercambio!$S17,bd_bonos!$A$1:$A$28,0)-1,4)</f>
        <v>6.7141999999999999</v>
      </c>
      <c r="V17" s="305" t="str">
        <f ca="1">OFFSET(bd_bonos!$A$1,MATCH(intercambio!$S17,bd_bonos!$A$1:$A$28,0)-1,12)</f>
        <v>PEN</v>
      </c>
      <c r="W17" s="306">
        <f ca="1">OFFSET(bd_bonos!$A$1,MATCH(intercambio!$S17,bd_bonos!$A$1:$A$28,0)-1,33)/1000000</f>
        <v>2271.8429999999998</v>
      </c>
      <c r="X17" s="35"/>
      <c r="Y17" s="148"/>
    </row>
    <row r="18" spans="1:213">
      <c r="A18" s="35"/>
      <c r="B18" s="88"/>
      <c r="C18" s="85"/>
      <c r="D18" s="181" t="str">
        <f>$D6</f>
        <v>Bono soberano 2020</v>
      </c>
      <c r="E18" s="181" t="str">
        <f ca="1">$G6</f>
        <v>PEN</v>
      </c>
      <c r="F18" s="265">
        <f>F12</f>
        <v>1</v>
      </c>
      <c r="G18" s="204">
        <v>7.84</v>
      </c>
      <c r="H18" s="259">
        <f ca="1">IF($E18="PEN",$G12,IF($E18="USD",$G12*$B$10,IF($E18="EUR",$G12*$B$11)))</f>
        <v>1573592000</v>
      </c>
      <c r="I18" s="266">
        <f t="shared" ref="I18:K20" si="1">H12</f>
        <v>10</v>
      </c>
      <c r="J18" s="260">
        <f t="shared" ca="1" si="1"/>
        <v>106.08499999999999</v>
      </c>
      <c r="K18" s="260">
        <f t="shared" ca="1" si="1"/>
        <v>105.985</v>
      </c>
      <c r="L18" s="261">
        <f ca="1">IF($D18&lt;&gt;"",($E6-$B$6)/365,"")</f>
        <v>0.70410958904109588</v>
      </c>
      <c r="M18" s="259">
        <f ca="1">IF($E18="PEN",$K12,IF($E18="USD",$K12*$B$10,IF($E18="EUR",$K12*$B$11)))</f>
        <v>123369612.8</v>
      </c>
      <c r="N18" s="267">
        <f ca="1">IF($E18="PEN",$L12,IF($E18="USD",$L12*$B$10,IF($E18="EUR",$L12*$B$11)))</f>
        <v>-1573591.9999999106</v>
      </c>
      <c r="O18" s="267">
        <f ca="1">IF($E18="PEN",$M12,IF($E18="USD",$M12*$B$10,IF($E18="EUR",$M12*$B$11)))</f>
        <v>1669345073.1999998</v>
      </c>
      <c r="P18" s="85"/>
      <c r="Q18" s="85"/>
      <c r="S18" s="304" t="s">
        <v>219</v>
      </c>
      <c r="T18" s="305" t="str">
        <f ca="1">OFFSET(bd_bonos!$A$1,MATCH(intercambio!$S18,bd_bonos!$A$1:$A$28,0)-1,11)</f>
        <v>30/03/2019</v>
      </c>
      <c r="U18" s="305">
        <f ca="1">OFFSET(bd_bonos!$A$1,MATCH(intercambio!$S18,bd_bonos!$A$1:$A$28,0)-1,4)</f>
        <v>7.125</v>
      </c>
      <c r="V18" s="305" t="str">
        <f ca="1">OFFSET(bd_bonos!$A$1,MATCH(intercambio!$S18,bd_bonos!$A$1:$A$28,0)-1,12)</f>
        <v>USD</v>
      </c>
      <c r="W18" s="306">
        <f ca="1">OFFSET(bd_bonos!$A$1,MATCH(intercambio!$S18,bd_bonos!$A$1:$A$28,0)-1,33)/1000000</f>
        <v>149.214</v>
      </c>
      <c r="X18" s="35"/>
      <c r="Y18" s="148"/>
    </row>
    <row r="19" spans="1:213">
      <c r="A19" s="35"/>
      <c r="B19" s="35"/>
      <c r="C19" s="85"/>
      <c r="D19" s="181" t="str">
        <f>$D7</f>
        <v>Bono soberano 2023</v>
      </c>
      <c r="E19" s="181" t="str">
        <f ca="1">$G7</f>
        <v>PEN</v>
      </c>
      <c r="F19" s="265">
        <f>F13</f>
        <v>1</v>
      </c>
      <c r="G19" s="204">
        <v>5.2</v>
      </c>
      <c r="H19" s="259">
        <f ca="1">IF($E19="PEN",$G13,IF($E19="USD",$G13*$B$10,IF($E19="EUR",$G13*$B$11)))</f>
        <v>5886504000</v>
      </c>
      <c r="I19" s="266">
        <f t="shared" si="1"/>
        <v>10</v>
      </c>
      <c r="J19" s="260">
        <f t="shared" ca="1" si="1"/>
        <v>107.324</v>
      </c>
      <c r="K19" s="260">
        <f t="shared" ca="1" si="1"/>
        <v>107.224</v>
      </c>
      <c r="L19" s="261">
        <f ca="1">IF($D19&lt;&gt;"",($E7-$B$6)/365,"")</f>
        <v>3.7890410958904108</v>
      </c>
      <c r="M19" s="259">
        <f ca="1">IF($E19="PEN",$K13,IF($E19="USD",$K13*$B$10,IF($E19="EUR",$K13*$B$11)))</f>
        <v>306098208</v>
      </c>
      <c r="N19" s="267">
        <f ca="1">IF($E19="PEN",$L13,IF($E19="USD",$L13*$B$10,IF($E19="EUR",$L13*$B$11)))</f>
        <v>-5886503.9999996657</v>
      </c>
      <c r="O19" s="267">
        <f ca="1">IF($E19="PEN",$M13,IF($E19="USD",$M13*$B$10,IF($E19="EUR",$M13*$B$11)))</f>
        <v>6317631552.96</v>
      </c>
      <c r="P19" s="85"/>
      <c r="Q19" s="85"/>
      <c r="S19" s="304" t="s">
        <v>227</v>
      </c>
      <c r="T19" s="305" t="str">
        <f ca="1">OFFSET(bd_bonos!$A$1,MATCH(intercambio!$S19,bd_bonos!$A$1:$A$28,0)-1,11)</f>
        <v>21/07/2025</v>
      </c>
      <c r="U19" s="305">
        <f ca="1">OFFSET(bd_bonos!$A$1,MATCH(intercambio!$S19,bd_bonos!$A$1:$A$28,0)-1,4)</f>
        <v>7.35</v>
      </c>
      <c r="V19" s="305" t="str">
        <f ca="1">OFFSET(bd_bonos!$A$1,MATCH(intercambio!$S19,bd_bonos!$A$1:$A$28,0)-1,12)</f>
        <v>USD</v>
      </c>
      <c r="W19" s="306">
        <f ca="1">OFFSET(bd_bonos!$A$1,MATCH(intercambio!$S19,bd_bonos!$A$1:$A$28,0)-1,33)/1000000</f>
        <v>1792.78</v>
      </c>
      <c r="X19" s="35"/>
      <c r="Y19" s="148"/>
      <c r="HE19" s="85"/>
    </row>
    <row r="20" spans="1:213">
      <c r="A20" s="35"/>
      <c r="B20" s="35"/>
      <c r="C20" s="85"/>
      <c r="D20" s="181" t="str">
        <f>$D8</f>
        <v>Bono soberano 2024</v>
      </c>
      <c r="E20" s="181" t="str">
        <f ca="1">$G8</f>
        <v>PEN</v>
      </c>
      <c r="F20" s="265">
        <f>F14</f>
        <v>1</v>
      </c>
      <c r="G20" s="204">
        <v>5.7</v>
      </c>
      <c r="H20" s="259">
        <f ca="1">IF($E20="PEN",$G14,IF($E20="USD",$G14*$B$10,IF($E20="EUR",$G14*$B$11)))</f>
        <v>11278348000</v>
      </c>
      <c r="I20" s="266">
        <f t="shared" si="1"/>
        <v>10</v>
      </c>
      <c r="J20" s="260">
        <f t="shared" ca="1" si="1"/>
        <v>109.54599999999999</v>
      </c>
      <c r="K20" s="260">
        <f t="shared" ca="1" si="1"/>
        <v>109.446</v>
      </c>
      <c r="L20" s="261">
        <f ca="1">IF($D20&lt;&gt;"",($E8-$B$6)/365,"")</f>
        <v>4.7068493150684931</v>
      </c>
      <c r="M20" s="259">
        <f ca="1">IF($E20="PEN",$K14,IF($E20="USD",$K14*$B$10,IF($E20="EUR",$K14*$B$11)))</f>
        <v>642865836</v>
      </c>
      <c r="N20" s="267">
        <f ca="1">IF($E20="PEN",$L14,IF($E20="USD",$L14*$B$10,IF($E20="EUR",$L14*$B$11)))</f>
        <v>-11278347.999999359</v>
      </c>
      <c r="O20" s="267">
        <f ca="1">IF($E20="PEN",$M14,IF($E20="USD",$M14*$B$10,IF($E20="EUR",$M14*$B$11)))</f>
        <v>12354979100.079998</v>
      </c>
      <c r="P20" s="85"/>
      <c r="Q20" s="85"/>
      <c r="S20" s="304" t="s">
        <v>233</v>
      </c>
      <c r="T20" s="305" t="str">
        <f ca="1">OFFSET(bd_bonos!$A$1,MATCH(intercambio!$S20,bd_bonos!$A$1:$A$28,0)-1,11)</f>
        <v>30/01/2026</v>
      </c>
      <c r="U20" s="305">
        <f ca="1">OFFSET(bd_bonos!$A$1,MATCH(intercambio!$S20,bd_bonos!$A$1:$A$28,0)-1,4)</f>
        <v>2.75</v>
      </c>
      <c r="V20" s="305" t="str">
        <f ca="1">OFFSET(bd_bonos!$A$1,MATCH(intercambio!$S20,bd_bonos!$A$1:$A$28,0)-1,12)</f>
        <v>EUR</v>
      </c>
      <c r="W20" s="306">
        <f ca="1">OFFSET(bd_bonos!$A$1,MATCH(intercambio!$S20,bd_bonos!$A$1:$A$28,0)-1,33)/1000000</f>
        <v>1100</v>
      </c>
      <c r="X20" s="35"/>
      <c r="Y20" s="148"/>
    </row>
    <row r="21" spans="1:213">
      <c r="A21" s="88"/>
      <c r="B21" s="88"/>
      <c r="C21" s="85"/>
      <c r="D21" s="85"/>
      <c r="E21" s="85"/>
      <c r="F21" s="268" t="s">
        <v>641</v>
      </c>
      <c r="G21" s="269">
        <f ca="1">SUMPRODUCT($H18:$H20,$G18:$G20)/$H21</f>
        <v>5.722639813636607</v>
      </c>
      <c r="H21" s="270">
        <f ca="1">SUM($H18:$H20)</f>
        <v>18738444000</v>
      </c>
      <c r="I21" s="271">
        <f ca="1">SUMPRODUCT($H18:$H20,$I18:$I20)/$H21</f>
        <v>10</v>
      </c>
      <c r="J21" s="272">
        <f ca="1">SUMPRODUCT($H18:$H20,$J18:$J20)/$H21</f>
        <v>108.55733659763852</v>
      </c>
      <c r="K21" s="268"/>
      <c r="L21" s="273">
        <f ca="1">SUMPRODUCT($H18:$H20,$L18:$L20)/$H21</f>
        <v>4.0823918646855493</v>
      </c>
      <c r="M21" s="270">
        <f ca="1">SUM($M18:$M20)</f>
        <v>1072333656.8</v>
      </c>
      <c r="N21" s="270">
        <f ca="1">SUM($N18:$N20)</f>
        <v>-18738443.999998935</v>
      </c>
      <c r="O21" s="270">
        <f ca="1">SUM($O18:$O20)</f>
        <v>20341955726.239998</v>
      </c>
      <c r="P21" s="85"/>
      <c r="Q21" s="85"/>
      <c r="S21" s="304" t="s">
        <v>242</v>
      </c>
      <c r="T21" s="305" t="str">
        <f ca="1">OFFSET(bd_bonos!$A$1,MATCH(intercambio!$S21,bd_bonos!$A$1:$A$28,0)-1,11)</f>
        <v>25/08/2027</v>
      </c>
      <c r="U21" s="305">
        <f ca="1">OFFSET(bd_bonos!$A$1,MATCH(intercambio!$S21,bd_bonos!$A$1:$A$28,0)-1,4)</f>
        <v>4.125</v>
      </c>
      <c r="V21" s="305" t="str">
        <f ca="1">OFFSET(bd_bonos!$A$1,MATCH(intercambio!$S21,bd_bonos!$A$1:$A$28,0)-1,12)</f>
        <v>USD</v>
      </c>
      <c r="W21" s="306">
        <f ca="1">OFFSET(bd_bonos!$A$1,MATCH(intercambio!$S21,bd_bonos!$A$1:$A$28,0)-1,33)/1000000</f>
        <v>1250</v>
      </c>
      <c r="X21" s="35"/>
      <c r="Y21" s="148"/>
    </row>
    <row r="22" spans="1:213">
      <c r="A22" s="310"/>
      <c r="B22" s="310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S22" s="304" t="s">
        <v>247</v>
      </c>
      <c r="T22" s="305" t="str">
        <f ca="1">OFFSET(bd_bonos!$A$1,MATCH(intercambio!$S22,bd_bonos!$A$1:$A$28,0)-1,11)</f>
        <v>01/03/2030</v>
      </c>
      <c r="U22" s="305">
        <f ca="1">OFFSET(bd_bonos!$A$1,MATCH(intercambio!$S22,bd_bonos!$A$1:$A$28,0)-1,4)</f>
        <v>3.75</v>
      </c>
      <c r="V22" s="305" t="str">
        <f ca="1">OFFSET(bd_bonos!$A$1,MATCH(intercambio!$S22,bd_bonos!$A$1:$A$28,0)-1,12)</f>
        <v>EUR</v>
      </c>
      <c r="W22" s="306">
        <f ca="1">OFFSET(bd_bonos!$A$1,MATCH(intercambio!$S22,bd_bonos!$A$1:$A$28,0)-1,33)/1000000</f>
        <v>1000</v>
      </c>
      <c r="X22" s="35"/>
      <c r="Y22" s="148"/>
      <c r="HE22" s="85"/>
    </row>
    <row r="23" spans="1:213">
      <c r="A23" s="310" t="s">
        <v>586</v>
      </c>
      <c r="B23" s="310">
        <v>8</v>
      </c>
      <c r="C23" s="85"/>
      <c r="D23" s="325" t="s">
        <v>660</v>
      </c>
      <c r="E23" s="332"/>
      <c r="F23" s="332"/>
      <c r="G23" s="332"/>
      <c r="H23" s="85"/>
      <c r="I23" s="85"/>
      <c r="J23" s="85"/>
      <c r="K23" s="85"/>
      <c r="L23" s="85"/>
      <c r="M23" s="85"/>
      <c r="N23" s="85"/>
      <c r="O23" s="85"/>
      <c r="P23" s="85"/>
      <c r="Q23" s="85"/>
      <c r="S23" s="304" t="s">
        <v>252</v>
      </c>
      <c r="T23" s="305" t="str">
        <f ca="1">OFFSET(bd_bonos!$A$1,MATCH(intercambio!$S23,bd_bonos!$A$1:$A$28,0)-1,11)</f>
        <v>21/11/2033</v>
      </c>
      <c r="U23" s="305">
        <f ca="1">OFFSET(bd_bonos!$A$1,MATCH(intercambio!$S23,bd_bonos!$A$1:$A$28,0)-1,4)</f>
        <v>8.75</v>
      </c>
      <c r="V23" s="305" t="str">
        <f ca="1">OFFSET(bd_bonos!$A$1,MATCH(intercambio!$S23,bd_bonos!$A$1:$A$28,0)-1,12)</f>
        <v>USD</v>
      </c>
      <c r="W23" s="306">
        <f ca="1">OFFSET(bd_bonos!$A$1,MATCH(intercambio!$S23,bd_bonos!$A$1:$A$28,0)-1,33)/1000000</f>
        <v>2188.3290000000002</v>
      </c>
      <c r="X23" s="35"/>
      <c r="Y23" s="148"/>
    </row>
    <row r="24" spans="1:213">
      <c r="A24" s="310" t="s">
        <v>587</v>
      </c>
      <c r="B24" s="310">
        <v>8</v>
      </c>
      <c r="C24" s="85"/>
      <c r="D24" s="262" t="s">
        <v>642</v>
      </c>
      <c r="E24" s="262" t="s">
        <v>152</v>
      </c>
      <c r="F24" s="262" t="s">
        <v>400</v>
      </c>
      <c r="G24" s="262" t="s">
        <v>639</v>
      </c>
      <c r="H24" s="262" t="s">
        <v>408</v>
      </c>
      <c r="I24" s="262" t="s">
        <v>115</v>
      </c>
      <c r="J24" s="262" t="s">
        <v>643</v>
      </c>
      <c r="K24" s="262" t="s">
        <v>644</v>
      </c>
      <c r="L24" s="262" t="s">
        <v>584</v>
      </c>
      <c r="M24" s="262" t="s">
        <v>640</v>
      </c>
      <c r="N24" s="262" t="s">
        <v>585</v>
      </c>
      <c r="O24" s="262" t="s">
        <v>645</v>
      </c>
      <c r="P24" s="262" t="s">
        <v>646</v>
      </c>
      <c r="Q24" s="262" t="s">
        <v>647</v>
      </c>
      <c r="S24" s="304" t="s">
        <v>258</v>
      </c>
      <c r="T24" s="305" t="str">
        <f ca="1">OFFSET(bd_bonos!$A$1,MATCH(intercambio!$S24,bd_bonos!$A$1:$A$28,0)-1,11)</f>
        <v>14/03/2037</v>
      </c>
      <c r="U24" s="305">
        <f ca="1">OFFSET(bd_bonos!$A$1,MATCH(intercambio!$S24,bd_bonos!$A$1:$A$28,0)-1,4)</f>
        <v>6.55</v>
      </c>
      <c r="V24" s="305" t="str">
        <f ca="1">OFFSET(bd_bonos!$A$1,MATCH(intercambio!$S24,bd_bonos!$A$1:$A$28,0)-1,12)</f>
        <v>USD</v>
      </c>
      <c r="W24" s="306">
        <f ca="1">OFFSET(bd_bonos!$A$1,MATCH(intercambio!$S24,bd_bonos!$A$1:$A$28,0)-1,33)/1000000</f>
        <v>1164.5630000000001</v>
      </c>
      <c r="X24" s="35"/>
      <c r="Y24" s="148"/>
    </row>
    <row r="25" spans="1:213">
      <c r="A25" s="310" t="s">
        <v>588</v>
      </c>
      <c r="B25" s="310">
        <v>11</v>
      </c>
      <c r="C25" s="85"/>
      <c r="D25" s="173" t="s">
        <v>127</v>
      </c>
      <c r="E25" s="181" t="str">
        <f ca="1">OFFSET(bd_bonos!$A$1,MATCH(intercambio!$D25,bd_bonos!$A:$A,0)-1,11)</f>
        <v>12/02/2029</v>
      </c>
      <c r="F25" s="181" t="str">
        <f ca="1">OFFSET(bd_bonos!$A$1,MATCH(intercambio!$D25,bd_bonos!$A:$A,0)-1,12)</f>
        <v>PEN</v>
      </c>
      <c r="G25" s="204">
        <f ca="1">OFFSET(sov_bond!$B$1,MATCH(intercambio!$D25,sov_bond!$B:$B,0)-1,2)*100</f>
        <v>5.94</v>
      </c>
      <c r="H25" s="274">
        <f ca="1">OFFSET(bd_historicas!$A$1,MATCH(intercambio!$D25,bd_historicas!$D:$D,0)+3,MATCH(intercambio!$H24,bd_historicas!$D$4:$J$4,0)+2)</f>
        <v>107.59399999999999</v>
      </c>
      <c r="I25" s="303">
        <f ca="1">((G25/100/2)*($B$6-OFFSET(bond_calc!$A$1,MATCH(intercambio!$D25,bond_calc!$A:$A,0)-1,20))/(OFFSET(bond_calc!$A$1,MATCH(intercambio!$D25,bond_calc!$A:$A,0)-1,21)-OFFSET(bond_calc!$A$1,MATCH(intercambio!$D25,bond_calc!$A:$A,0)-1,20)))*100</f>
        <v>1.7594021739130434</v>
      </c>
      <c r="J25" s="274">
        <f ca="1">$H25+$I25</f>
        <v>109.35340217391304</v>
      </c>
      <c r="K25" s="263">
        <v>1</v>
      </c>
      <c r="L25" s="259">
        <f ca="1">$O21*$K25/$J25*100</f>
        <v>18602032787.136002</v>
      </c>
      <c r="M25" s="261">
        <f ca="1">($E25-$B$6)/365</f>
        <v>9.213698630136987</v>
      </c>
      <c r="N25" s="259">
        <f ca="1">$L25*$G25/100</f>
        <v>1104960747.5558786</v>
      </c>
      <c r="O25" s="259">
        <f ca="1">IF(OR($K25=0%,$K25=""),"",($L25-$H21*$K25))</f>
        <v>-136411212.86399841</v>
      </c>
      <c r="P25" s="204">
        <f ca="1">OFFSET(bd_bonos!$A$1,MATCH(intercambio!$D25,bd_bonos!$A:$A,0)-1,4)</f>
        <v>5.94</v>
      </c>
      <c r="Q25" s="204">
        <f ca="1">YIELD($B$6,E25,P25%,J25,100,2)*100</f>
        <v>4.6765115705362525</v>
      </c>
      <c r="S25" s="304" t="s">
        <v>263</v>
      </c>
      <c r="T25" s="305" t="str">
        <f ca="1">OFFSET(bd_bonos!$A$1,MATCH(intercambio!$S25,bd_bonos!$A$1:$A$28,0)-1,11)</f>
        <v>18/11/2050</v>
      </c>
      <c r="U25" s="305">
        <f ca="1">OFFSET(bd_bonos!$A$1,MATCH(intercambio!$S25,bd_bonos!$A$1:$A$28,0)-1,4)</f>
        <v>5.625</v>
      </c>
      <c r="V25" s="305" t="str">
        <f ca="1">OFFSET(bd_bonos!$A$1,MATCH(intercambio!$S25,bd_bonos!$A$1:$A$28,0)-1,12)</f>
        <v>USD</v>
      </c>
      <c r="W25" s="306">
        <f ca="1">OFFSET(bd_bonos!$A$1,MATCH(intercambio!$S25,bd_bonos!$A$1:$A$28,0)-1,33)/1000000</f>
        <v>2545</v>
      </c>
      <c r="X25" s="35"/>
      <c r="Y25" s="148"/>
      <c r="HE25" s="85"/>
    </row>
    <row r="26" spans="1:213">
      <c r="A26" s="310" t="s">
        <v>589</v>
      </c>
      <c r="B26" s="310">
        <v>14</v>
      </c>
      <c r="C26" s="85"/>
      <c r="D26" s="181" t="s">
        <v>558</v>
      </c>
      <c r="E26" s="173"/>
      <c r="F26" s="173" t="s">
        <v>151</v>
      </c>
      <c r="G26" s="174" t="e">
        <f ca="1">Interp($M26,bond_interp!$J$3:$J$13,bond_interp!$H$3:$H$13)*100</f>
        <v>#NAME?</v>
      </c>
      <c r="H26" s="274"/>
      <c r="I26" s="261">
        <v>0</v>
      </c>
      <c r="J26" s="260">
        <f>$H26+$I26</f>
        <v>0</v>
      </c>
      <c r="K26" s="263">
        <v>0</v>
      </c>
      <c r="L26" s="259" t="e">
        <f ca="1">$O21*$K26/$J26*100</f>
        <v>#DIV/0!</v>
      </c>
      <c r="M26" s="261">
        <f>($E26-$B$6)/365</f>
        <v>-119.9945205479452</v>
      </c>
      <c r="N26" s="259" t="e">
        <f ca="1">$L26*$G26/100</f>
        <v>#DIV/0!</v>
      </c>
      <c r="O26" s="259" t="str">
        <f>IF(OR($K26=0%,$K26=""),"",($L26-$H21*$K26))</f>
        <v/>
      </c>
      <c r="P26" s="204" t="e">
        <f ca="1">Interp($M26,bond_interp!$J$3:$J$13,bond_interp!$H$3:$H$13)*100</f>
        <v>#NAME?</v>
      </c>
      <c r="Q26" s="204" t="e">
        <f ca="1">YIELD($B$6,E26,P26%,J26,100,2)*100</f>
        <v>#NAME?</v>
      </c>
      <c r="S26" s="304" t="s">
        <v>384</v>
      </c>
      <c r="T26" s="305" t="str">
        <f ca="1">OFFSET(bd_bonos!$A$1,MATCH(intercambio!$S26,bd_bonos!$A$1:$A$28,0)-1,11)</f>
        <v>13/10/2024</v>
      </c>
      <c r="U26" s="305">
        <f ca="1">OFFSET(bd_bonos!$A$1,MATCH(intercambio!$S26,bd_bonos!$A$1:$A$28,0)-1,4)</f>
        <v>6.8399000000000001</v>
      </c>
      <c r="V26" s="305" t="str">
        <f ca="1">OFFSET(bd_bonos!$A$1,MATCH(intercambio!$S26,bd_bonos!$A$1:$A$28,0)-1,12)</f>
        <v>PEN</v>
      </c>
      <c r="W26" s="306">
        <f ca="1">OFFSET(bd_bonos!$A$1,MATCH(intercambio!$S26,bd_bonos!$A$1:$A$28,0)-1,33)/1000000</f>
        <v>1316.8954665899998</v>
      </c>
      <c r="X26" s="35"/>
      <c r="Y26" s="148"/>
    </row>
    <row r="27" spans="1:213">
      <c r="A27" s="310" t="s">
        <v>590</v>
      </c>
      <c r="B27" s="310">
        <v>17</v>
      </c>
      <c r="C27" s="85"/>
      <c r="D27" s="181"/>
      <c r="E27" s="181"/>
      <c r="F27" s="268" t="s">
        <v>641</v>
      </c>
      <c r="G27" s="269" t="e">
        <f ca="1">IF($L27&lt;&gt;"",SUMPRODUCT($G25:$G26,$L25:$L26)/$L27,"")</f>
        <v>#DIV/0!</v>
      </c>
      <c r="H27" s="272" t="e">
        <f ca="1">IF($L27&lt;&gt;"",SUMPRODUCT($H25:$H26,$L25:$L26)/$L27,"")</f>
        <v>#DIV/0!</v>
      </c>
      <c r="I27" s="273" t="e">
        <f ca="1">IF($L27&lt;&gt;"",SUMPRODUCT($I25:$I26,$L25:$L26)/$L27,"")</f>
        <v>#DIV/0!</v>
      </c>
      <c r="J27" s="272" t="e">
        <f ca="1">IF($L27&lt;&gt;"",SUMPRODUCT($J25:$J26,$L25:$L26)/$L27,"")</f>
        <v>#DIV/0!</v>
      </c>
      <c r="K27" s="275">
        <f>SUM($K25:$K26)</f>
        <v>1</v>
      </c>
      <c r="L27" s="276" t="e">
        <f ca="1">SUM($L25:$L26)</f>
        <v>#DIV/0!</v>
      </c>
      <c r="M27" s="273" t="e">
        <f ca="1">IF($L27&lt;&gt;"",SUMPRODUCT($M25:$M26,$L25:$L26)/$L27,"")</f>
        <v>#DIV/0!</v>
      </c>
      <c r="N27" s="276" t="e">
        <f ca="1">SUM($N25:$N26)</f>
        <v>#DIV/0!</v>
      </c>
      <c r="O27" s="276">
        <f ca="1">SUM($O25:$O26)</f>
        <v>-136411212.86399841</v>
      </c>
      <c r="P27" s="269" t="e">
        <f ca="1">IF($L27&lt;&gt;"",SUMPRODUCT($P25:$P26,$L25:$L26)/$L27,"")</f>
        <v>#DIV/0!</v>
      </c>
      <c r="Q27" s="269" t="e">
        <f ca="1">SUMPRODUCT($Q25:$Q26,$L25:$L26)/$L27</f>
        <v>#NAME?</v>
      </c>
      <c r="S27" s="304" t="s">
        <v>379</v>
      </c>
      <c r="T27" s="305" t="str">
        <f ca="1">OFFSET(bd_bonos!$A$1,MATCH(intercambio!$S27,bd_bonos!$A$1:$A$28,0)-1,11)</f>
        <v>12/02/2030</v>
      </c>
      <c r="U27" s="305">
        <f ca="1">OFFSET(bd_bonos!$A$1,MATCH(intercambio!$S27,bd_bonos!$A$1:$A$28,0)-1,4)</f>
        <v>2.8893</v>
      </c>
      <c r="V27" s="305" t="str">
        <f ca="1">OFFSET(bd_bonos!$A$1,MATCH(intercambio!$S27,bd_bonos!$A$1:$A$28,0)-1,12)</f>
        <v>PEN</v>
      </c>
      <c r="W27" s="306">
        <f ca="1">OFFSET(bd_bonos!$A$1,MATCH(intercambio!$S27,bd_bonos!$A$1:$A$28,0)-1,33)/1000000</f>
        <v>86.401408439999997</v>
      </c>
      <c r="X27" s="35"/>
      <c r="Y27" s="148"/>
    </row>
    <row r="28" spans="1:213">
      <c r="A28" s="310" t="s">
        <v>591</v>
      </c>
      <c r="B28" s="310">
        <v>20</v>
      </c>
      <c r="C28" s="85"/>
      <c r="D28" s="181"/>
      <c r="E28" s="181"/>
      <c r="F28" s="181"/>
      <c r="G28" s="181"/>
      <c r="H28" s="181"/>
      <c r="I28" s="181"/>
      <c r="J28" s="181"/>
      <c r="K28" s="181"/>
      <c r="L28" s="181"/>
      <c r="M28" s="181"/>
      <c r="N28" s="181"/>
      <c r="O28" s="181"/>
      <c r="P28" s="181"/>
      <c r="Q28" s="181"/>
      <c r="S28" s="304" t="s">
        <v>380</v>
      </c>
      <c r="T28" s="305" t="str">
        <f ca="1">OFFSET(bd_bonos!$A$1,MATCH(intercambio!$S28,bd_bonos!$A$1:$A$28,0)-1,11)</f>
        <v>31/01/2035</v>
      </c>
      <c r="U28" s="305">
        <f ca="1">OFFSET(bd_bonos!$A$1,MATCH(intercambio!$S28,bd_bonos!$A$1:$A$28,0)-1,4)</f>
        <v>7.39</v>
      </c>
      <c r="V28" s="305" t="str">
        <f ca="1">OFFSET(bd_bonos!$A$1,MATCH(intercambio!$S28,bd_bonos!$A$1:$A$28,0)-1,12)</f>
        <v>PEN</v>
      </c>
      <c r="W28" s="306">
        <f ca="1">OFFSET(bd_bonos!$A$1,MATCH(intercambio!$S28,bd_bonos!$A$1:$A$28,0)-1,33)/1000000</f>
        <v>1353.1432499500002</v>
      </c>
      <c r="X28" s="35"/>
      <c r="Y28" s="148"/>
      <c r="HE28" s="85"/>
    </row>
    <row r="29" spans="1:213">
      <c r="A29" s="310" t="s">
        <v>586</v>
      </c>
      <c r="B29" s="311">
        <v>21</v>
      </c>
      <c r="C29" s="85"/>
      <c r="D29" s="325" t="s">
        <v>661</v>
      </c>
      <c r="E29" s="325"/>
      <c r="F29" s="325"/>
      <c r="G29" s="203" t="s">
        <v>574</v>
      </c>
      <c r="H29" s="203" t="s">
        <v>643</v>
      </c>
      <c r="I29" s="203" t="s">
        <v>645</v>
      </c>
      <c r="J29" s="203" t="s">
        <v>640</v>
      </c>
      <c r="K29" s="203" t="s">
        <v>585</v>
      </c>
      <c r="L29" s="203" t="s">
        <v>636</v>
      </c>
      <c r="M29" s="203"/>
      <c r="N29" s="203"/>
      <c r="O29" s="181"/>
      <c r="P29" s="181"/>
      <c r="Q29" s="181"/>
      <c r="S29" s="304" t="s">
        <v>381</v>
      </c>
      <c r="T29" s="305" t="str">
        <f ca="1">OFFSET(bd_bonos!$A$1,MATCH(intercambio!$S29,bd_bonos!$A$1:$A$28,0)-1,11)</f>
        <v>12/02/2040</v>
      </c>
      <c r="U29" s="305">
        <f ca="1">OFFSET(bd_bonos!$A$1,MATCH(intercambio!$S29,bd_bonos!$A$1:$A$28,0)-1,4)</f>
        <v>3.1412</v>
      </c>
      <c r="V29" s="305" t="str">
        <f ca="1">OFFSET(bd_bonos!$A$1,MATCH(intercambio!$S29,bd_bonos!$A$1:$A$28,0)-1,12)</f>
        <v>PEN</v>
      </c>
      <c r="W29" s="306">
        <f ca="1">OFFSET(bd_bonos!$A$1,MATCH(intercambio!$S29,bd_bonos!$A$1:$A$28,0)-1,33)/1000000</f>
        <v>256.75456916999997</v>
      </c>
      <c r="X29" s="222"/>
      <c r="Y29" s="223"/>
      <c r="Z29" s="224"/>
      <c r="AA29" s="225"/>
      <c r="AB29" s="225"/>
      <c r="AC29" s="225"/>
      <c r="AD29" s="225"/>
      <c r="AE29" s="225"/>
      <c r="AF29" s="225"/>
      <c r="AG29" s="225"/>
    </row>
    <row r="30" spans="1:213">
      <c r="A30" s="310" t="s">
        <v>587</v>
      </c>
      <c r="B30" s="311">
        <v>26</v>
      </c>
      <c r="C30" s="85"/>
      <c r="D30" s="181"/>
      <c r="E30" s="181"/>
      <c r="F30" s="181"/>
      <c r="G30" s="269" t="str">
        <f ca="1">IF(OR(ISERROR(G21),ISERROR(G27))=TRUE,"",$G27-$G21)</f>
        <v/>
      </c>
      <c r="H30" s="272" t="str">
        <f ca="1">IF(OR(ISERROR(J21),ISERROR(J27))=TRUE,"",($J27/$J21)*100)</f>
        <v/>
      </c>
      <c r="I30" s="277" t="str">
        <f ca="1">IF(ISERROR($L27)=TRUE,"",$L27-$H21)</f>
        <v/>
      </c>
      <c r="J30" s="273" t="str">
        <f ca="1">IF(OR(ISERROR(L21),ISERROR(M27))=TRUE,"",$M27-$L21)</f>
        <v/>
      </c>
      <c r="K30" s="270" t="str">
        <f ca="1">IF(ISERROR($N27)=TRUE,"",$N27-$M21)</f>
        <v/>
      </c>
      <c r="L30" s="270">
        <f ca="1">$N21</f>
        <v>-18738443.999998935</v>
      </c>
      <c r="M30" s="181"/>
      <c r="N30" s="181"/>
      <c r="O30" s="181"/>
      <c r="P30" s="181"/>
      <c r="Q30" s="204"/>
      <c r="S30" s="304" t="s">
        <v>382</v>
      </c>
      <c r="T30" s="305" t="str">
        <f ca="1">OFFSET(bd_bonos!$A$1,MATCH(intercambio!$S30,bd_bonos!$A$1:$A$28,0)-1,11)</f>
        <v>12/08/2046</v>
      </c>
      <c r="U30" s="305">
        <f ca="1">OFFSET(bd_bonos!$A$1,MATCH(intercambio!$S30,bd_bonos!$A$1:$A$28,0)-1,4)</f>
        <v>3.83</v>
      </c>
      <c r="V30" s="305" t="str">
        <f ca="1">OFFSET(bd_bonos!$A$1,MATCH(intercambio!$S30,bd_bonos!$A$1:$A$28,0)-1,12)</f>
        <v>PEN</v>
      </c>
      <c r="W30" s="306">
        <f ca="1">OFFSET(bd_bonos!$A$1,MATCH(intercambio!$S30,bd_bonos!$A$1:$A$28,0)-1,33)/1000000</f>
        <v>611.97804575999999</v>
      </c>
      <c r="X30" s="222"/>
      <c r="Y30" s="223"/>
      <c r="Z30" s="224"/>
      <c r="AA30" s="225"/>
      <c r="AB30" s="225"/>
      <c r="AC30" s="225"/>
      <c r="AD30" s="225"/>
      <c r="AE30" s="225"/>
      <c r="AF30" s="225"/>
      <c r="AG30" s="225"/>
    </row>
    <row r="31" spans="1:213">
      <c r="A31" s="312" t="s">
        <v>588</v>
      </c>
      <c r="B31" s="313">
        <v>21</v>
      </c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S31" s="304" t="s">
        <v>383</v>
      </c>
      <c r="T31" s="305" t="str">
        <f ca="1">OFFSET(bd_bonos!$A$1,MATCH(intercambio!$S31,bd_bonos!$A$1:$A$28,0)-1,11)</f>
        <v>12/02/2054</v>
      </c>
      <c r="U31" s="305">
        <f ca="1">OFFSET(bd_bonos!$A$1,MATCH(intercambio!$S31,bd_bonos!$A$1:$A$28,0)-1,4)</f>
        <v>3.2669000000000001</v>
      </c>
      <c r="V31" s="305" t="str">
        <f ca="1">OFFSET(bd_bonos!$A$1,MATCH(intercambio!$S31,bd_bonos!$A$1:$A$28,0)-1,12)</f>
        <v>PEN</v>
      </c>
      <c r="W31" s="306">
        <f ca="1">OFFSET(bd_bonos!$A$1,MATCH(intercambio!$S31,bd_bonos!$A$1:$A$28,0)-1,33)/1000000</f>
        <v>432.42786039999999</v>
      </c>
      <c r="X31" s="222"/>
      <c r="Y31" s="223"/>
      <c r="Z31" s="224"/>
      <c r="AA31" s="225"/>
      <c r="AB31" s="225"/>
      <c r="AC31" s="225"/>
      <c r="AD31" s="225"/>
      <c r="AE31" s="225"/>
      <c r="AF31" s="225"/>
      <c r="AG31" s="225"/>
      <c r="HE31" s="85"/>
    </row>
    <row r="32" spans="1:213">
      <c r="A32" s="312" t="s">
        <v>589</v>
      </c>
      <c r="B32" s="313">
        <v>24</v>
      </c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S32" s="304" t="s">
        <v>649</v>
      </c>
      <c r="T32" s="305"/>
      <c r="U32" s="305"/>
      <c r="V32" s="305"/>
      <c r="W32" s="306"/>
      <c r="X32" s="35"/>
      <c r="Y32" s="148"/>
    </row>
    <row r="33" spans="1:25">
      <c r="A33" s="312" t="s">
        <v>590</v>
      </c>
      <c r="B33" s="313">
        <v>27</v>
      </c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S33" s="307" t="s">
        <v>558</v>
      </c>
      <c r="T33" s="308"/>
      <c r="U33" s="308"/>
      <c r="V33" s="308"/>
      <c r="W33" s="309"/>
      <c r="X33" s="35"/>
      <c r="Y33" s="148"/>
    </row>
    <row r="34" spans="1:25">
      <c r="A34" s="310" t="s">
        <v>591</v>
      </c>
      <c r="B34" s="311">
        <v>29</v>
      </c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S34" s="1"/>
      <c r="W34" s="1"/>
      <c r="X34" s="148"/>
      <c r="Y34" s="148"/>
    </row>
    <row r="35" spans="1:25">
      <c r="A35" s="314" t="s">
        <v>583</v>
      </c>
      <c r="B35" s="311">
        <v>5</v>
      </c>
      <c r="C35" s="85"/>
      <c r="D35" s="85"/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S35" s="1"/>
      <c r="W35" s="1"/>
      <c r="X35" s="148"/>
      <c r="Y35" s="148"/>
    </row>
    <row r="36" spans="1:25">
      <c r="A36" s="314"/>
      <c r="B36" s="310"/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S36" s="1"/>
      <c r="W36" s="1"/>
      <c r="X36" s="148"/>
      <c r="Y36" s="148"/>
    </row>
    <row r="37" spans="1:25">
      <c r="A37" s="314"/>
      <c r="B37" s="314"/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S37" s="1"/>
      <c r="W37" s="1"/>
      <c r="X37" s="148"/>
      <c r="Y37" s="148"/>
    </row>
    <row r="38" spans="1:25">
      <c r="A38" s="35"/>
      <c r="B38" s="35"/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S38" s="1"/>
      <c r="W38" s="1"/>
      <c r="X38" s="148"/>
      <c r="Y38" s="148"/>
    </row>
    <row r="39" spans="1:25">
      <c r="A39" s="35"/>
      <c r="B39" s="35"/>
      <c r="C39" s="85"/>
      <c r="D39" s="85"/>
      <c r="E39" s="85"/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S39" s="1"/>
      <c r="W39" s="1"/>
      <c r="X39" s="148"/>
      <c r="Y39" s="148"/>
    </row>
    <row r="40" spans="1:25">
      <c r="A40" s="35"/>
      <c r="B40" s="35"/>
      <c r="C40" s="85"/>
      <c r="D40" s="85"/>
      <c r="E40" s="85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S40" s="1"/>
      <c r="W40" s="1"/>
      <c r="X40" s="148"/>
      <c r="Y40" s="148"/>
    </row>
    <row r="41" spans="1:25">
      <c r="A41" s="35"/>
      <c r="B41" s="3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S41" s="1"/>
      <c r="W41" s="1"/>
      <c r="X41" s="148"/>
      <c r="Y41" s="148"/>
    </row>
    <row r="42" spans="1:25">
      <c r="A42" s="35"/>
      <c r="B42" s="3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S42" s="1"/>
      <c r="W42" s="1"/>
      <c r="X42" s="148"/>
      <c r="Y42" s="148"/>
    </row>
    <row r="43" spans="1:25">
      <c r="A43" s="35"/>
      <c r="B43" s="3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S43" s="1"/>
      <c r="W43" s="1"/>
      <c r="X43" s="148"/>
      <c r="Y43" s="148"/>
    </row>
    <row r="44" spans="1:25">
      <c r="A44" s="35"/>
      <c r="B44" s="3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S44" s="1"/>
      <c r="W44" s="1"/>
      <c r="X44" s="148"/>
      <c r="Y44" s="148"/>
    </row>
    <row r="45" spans="1:25">
      <c r="A45" s="35"/>
      <c r="B45" s="3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S45" s="1"/>
      <c r="W45" s="1"/>
      <c r="X45" s="148"/>
      <c r="Y45" s="148"/>
    </row>
    <row r="46" spans="1:25">
      <c r="A46" s="35"/>
      <c r="B46" s="3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S46" s="1"/>
      <c r="W46" s="1"/>
      <c r="X46" s="148"/>
      <c r="Y46" s="148"/>
    </row>
    <row r="47" spans="1:25">
      <c r="A47" s="35"/>
      <c r="B47" s="35"/>
      <c r="C47" s="85"/>
      <c r="D47" s="85"/>
      <c r="E47" s="85"/>
      <c r="F47" s="85"/>
      <c r="G47" s="85"/>
      <c r="H47" s="85"/>
      <c r="I47" s="85"/>
      <c r="J47" s="85"/>
      <c r="K47" s="85"/>
      <c r="L47" s="85"/>
      <c r="M47" s="85"/>
      <c r="N47" s="85"/>
      <c r="O47" s="85"/>
      <c r="P47" s="85"/>
      <c r="Q47" s="85"/>
      <c r="S47" s="1"/>
      <c r="W47" s="1"/>
      <c r="X47" s="148"/>
      <c r="Y47" s="148"/>
    </row>
    <row r="48" spans="1:25">
      <c r="A48" s="35"/>
      <c r="B48" s="35"/>
      <c r="C48" s="85"/>
      <c r="D48" s="85"/>
      <c r="E48" s="85"/>
      <c r="F48" s="85"/>
      <c r="G48" s="85"/>
      <c r="H48" s="85"/>
      <c r="I48" s="85"/>
      <c r="J48" s="85"/>
      <c r="K48" s="85"/>
      <c r="L48" s="85"/>
      <c r="M48" s="85"/>
      <c r="N48" s="85"/>
      <c r="O48" s="85"/>
      <c r="P48" s="85"/>
      <c r="Q48" s="85"/>
      <c r="S48" s="1"/>
      <c r="W48" s="1"/>
      <c r="X48" s="148"/>
      <c r="Y48" s="148"/>
    </row>
    <row r="49" spans="1:213">
      <c r="A49" s="35"/>
      <c r="B49" s="35"/>
      <c r="C49" s="85"/>
      <c r="D49" s="85"/>
      <c r="E49" s="85"/>
      <c r="F49" s="85"/>
      <c r="G49" s="85"/>
      <c r="H49" s="85"/>
      <c r="I49" s="85"/>
      <c r="J49" s="85"/>
      <c r="K49" s="85"/>
      <c r="L49" s="85"/>
      <c r="M49" s="85"/>
      <c r="N49" s="85"/>
      <c r="O49" s="85"/>
      <c r="P49" s="85"/>
      <c r="Q49" s="85"/>
      <c r="R49" s="35"/>
      <c r="S49" s="88"/>
      <c r="T49" s="35"/>
      <c r="U49" s="35"/>
      <c r="V49" s="35"/>
      <c r="W49" s="148"/>
      <c r="X49" s="148"/>
      <c r="Y49" s="148"/>
    </row>
    <row r="50" spans="1:213">
      <c r="A50" s="35"/>
      <c r="B50" s="35"/>
      <c r="C50" s="85"/>
      <c r="D50" s="85"/>
      <c r="E50" s="85"/>
      <c r="F50" s="85"/>
      <c r="G50" s="85"/>
      <c r="H50" s="85"/>
      <c r="I50" s="85"/>
      <c r="J50" s="85"/>
      <c r="K50" s="85"/>
      <c r="L50" s="85"/>
      <c r="M50" s="85"/>
      <c r="N50" s="85"/>
      <c r="O50" s="85"/>
      <c r="P50" s="85"/>
      <c r="Q50" s="85"/>
      <c r="R50" s="35"/>
      <c r="S50" s="88"/>
      <c r="T50" s="35"/>
      <c r="U50" s="35"/>
      <c r="V50" s="35"/>
      <c r="W50" s="148"/>
      <c r="X50" s="148"/>
      <c r="Y50" s="148"/>
    </row>
    <row r="51" spans="1:213">
      <c r="A51" s="35"/>
      <c r="B51" s="35"/>
      <c r="C51" s="85"/>
      <c r="D51" s="85"/>
      <c r="E51" s="85"/>
      <c r="F51" s="85"/>
      <c r="G51" s="85"/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35"/>
      <c r="S51" s="88"/>
      <c r="T51" s="35"/>
      <c r="U51" s="35"/>
      <c r="V51" s="35"/>
      <c r="W51" s="148"/>
      <c r="X51" s="148"/>
      <c r="Y51" s="148"/>
    </row>
    <row r="52" spans="1:213">
      <c r="A52" s="35"/>
      <c r="B52" s="35"/>
      <c r="C52" s="85"/>
      <c r="D52" s="85"/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  <c r="P52" s="85"/>
      <c r="Q52" s="85"/>
      <c r="R52" s="35"/>
      <c r="S52" s="88"/>
      <c r="T52" s="35"/>
      <c r="U52" s="35"/>
      <c r="V52" s="35"/>
      <c r="W52" s="148"/>
      <c r="X52" s="148"/>
      <c r="Y52" s="148"/>
    </row>
    <row r="53" spans="1:213">
      <c r="A53" s="35"/>
      <c r="B53" s="35"/>
      <c r="C53" s="85"/>
      <c r="D53" s="85"/>
      <c r="E53" s="85"/>
      <c r="F53" s="85"/>
      <c r="G53" s="85"/>
      <c r="H53" s="85"/>
      <c r="I53" s="85"/>
      <c r="J53" s="85"/>
      <c r="K53" s="85"/>
      <c r="L53" s="85"/>
      <c r="M53" s="85"/>
      <c r="N53" s="85"/>
      <c r="O53" s="85"/>
      <c r="P53" s="85"/>
      <c r="Q53" s="85"/>
      <c r="R53" s="35"/>
      <c r="S53" s="88"/>
      <c r="T53" s="35"/>
      <c r="U53" s="35"/>
      <c r="V53" s="35"/>
      <c r="W53" s="148"/>
      <c r="X53" s="148"/>
      <c r="Y53" s="148"/>
      <c r="HE53" s="112"/>
    </row>
    <row r="54" spans="1:213">
      <c r="A54" s="35"/>
      <c r="B54" s="35"/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85"/>
      <c r="P54" s="85"/>
      <c r="Q54" s="85"/>
      <c r="R54" s="35"/>
      <c r="S54" s="88"/>
      <c r="T54" s="35"/>
      <c r="U54" s="35"/>
      <c r="V54" s="35"/>
      <c r="W54" s="148"/>
      <c r="X54" s="148"/>
      <c r="Y54" s="148"/>
    </row>
    <row r="55" spans="1:213">
      <c r="A55" s="35"/>
      <c r="B55" s="35"/>
      <c r="C55" s="85"/>
      <c r="D55" s="85"/>
      <c r="E55" s="85"/>
      <c r="F55" s="85"/>
      <c r="G55" s="85"/>
      <c r="H55" s="85"/>
      <c r="I55" s="85"/>
      <c r="J55" s="85"/>
      <c r="K55" s="85"/>
      <c r="L55" s="85"/>
      <c r="M55" s="85"/>
      <c r="N55" s="85"/>
      <c r="O55" s="85"/>
      <c r="P55" s="85"/>
      <c r="Q55" s="85"/>
      <c r="R55" s="35"/>
      <c r="S55" s="88"/>
      <c r="T55" s="35"/>
      <c r="U55" s="35"/>
      <c r="V55" s="35"/>
      <c r="W55" s="148"/>
      <c r="X55" s="148"/>
      <c r="Y55" s="148"/>
    </row>
    <row r="56" spans="1:213">
      <c r="A56" s="35"/>
      <c r="B56" s="35"/>
      <c r="C56" s="85"/>
      <c r="D56" s="85"/>
      <c r="E56" s="85"/>
      <c r="F56" s="85"/>
      <c r="G56" s="85"/>
      <c r="H56" s="85"/>
      <c r="I56" s="85"/>
      <c r="J56" s="85"/>
      <c r="K56" s="85"/>
      <c r="L56" s="85"/>
      <c r="M56" s="85"/>
      <c r="N56" s="85"/>
      <c r="O56" s="85"/>
      <c r="P56" s="85"/>
      <c r="Q56" s="85"/>
      <c r="R56" s="35"/>
      <c r="S56" s="88"/>
      <c r="T56" s="35"/>
      <c r="U56" s="35"/>
      <c r="V56" s="35"/>
      <c r="W56" s="148"/>
      <c r="X56" s="148"/>
      <c r="Y56" s="148"/>
    </row>
    <row r="57" spans="1:213">
      <c r="A57" s="35"/>
      <c r="B57" s="35"/>
      <c r="C57" s="85"/>
      <c r="D57" s="85"/>
      <c r="E57" s="85"/>
      <c r="F57" s="85"/>
      <c r="G57" s="85"/>
      <c r="H57" s="85"/>
      <c r="I57" s="85"/>
      <c r="J57" s="85"/>
      <c r="K57" s="85"/>
      <c r="L57" s="85"/>
      <c r="M57" s="85"/>
      <c r="N57" s="85"/>
      <c r="O57" s="85"/>
      <c r="P57" s="85"/>
      <c r="Q57" s="85"/>
      <c r="R57" s="35"/>
      <c r="S57" s="88"/>
      <c r="T57" s="35"/>
      <c r="U57" s="35"/>
      <c r="V57" s="35"/>
      <c r="W57" s="148"/>
      <c r="X57" s="148"/>
      <c r="Y57" s="148"/>
    </row>
    <row r="58" spans="1:213">
      <c r="A58" s="35"/>
      <c r="B58" s="35"/>
      <c r="C58" s="85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85"/>
      <c r="P58" s="85"/>
      <c r="Q58" s="85"/>
      <c r="R58" s="35"/>
      <c r="S58" s="88"/>
      <c r="T58" s="35"/>
      <c r="U58" s="35"/>
      <c r="V58" s="35"/>
      <c r="W58" s="148"/>
      <c r="X58" s="148"/>
      <c r="Y58" s="148"/>
    </row>
    <row r="59" spans="1:213">
      <c r="A59" s="35"/>
      <c r="B59" s="35"/>
      <c r="C59" s="85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85"/>
      <c r="P59" s="85"/>
      <c r="Q59" s="85"/>
      <c r="R59" s="35"/>
      <c r="S59" s="88"/>
      <c r="T59" s="35"/>
      <c r="U59" s="35"/>
      <c r="V59" s="35"/>
      <c r="W59" s="148"/>
      <c r="X59" s="148"/>
      <c r="Y59" s="148"/>
    </row>
    <row r="60" spans="1:213">
      <c r="A60" s="35"/>
      <c r="B60" s="35"/>
      <c r="C60" s="85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35"/>
      <c r="S60" s="88"/>
      <c r="T60" s="35"/>
      <c r="U60" s="35"/>
      <c r="V60" s="35"/>
      <c r="W60" s="148"/>
      <c r="X60" s="148"/>
      <c r="Y60" s="148"/>
    </row>
    <row r="61" spans="1:213">
      <c r="A61" s="35"/>
      <c r="B61" s="35"/>
      <c r="C61" s="85"/>
      <c r="D61" s="85"/>
      <c r="E61" s="85"/>
      <c r="F61" s="85"/>
      <c r="G61" s="85"/>
      <c r="H61" s="85"/>
      <c r="I61" s="85"/>
      <c r="J61" s="85"/>
      <c r="K61" s="85"/>
      <c r="L61" s="85"/>
      <c r="M61" s="85"/>
      <c r="N61" s="85"/>
      <c r="O61" s="85"/>
      <c r="P61" s="85"/>
      <c r="Q61" s="85"/>
      <c r="R61" s="35"/>
      <c r="S61" s="88"/>
      <c r="T61" s="35"/>
      <c r="U61" s="35"/>
      <c r="V61" s="35"/>
      <c r="W61" s="148"/>
      <c r="X61" s="148"/>
      <c r="Y61" s="148"/>
    </row>
    <row r="62" spans="1:213">
      <c r="A62" s="35"/>
      <c r="B62" s="35"/>
      <c r="C62" s="85"/>
      <c r="D62" s="85"/>
      <c r="E62" s="85"/>
      <c r="F62" s="85"/>
      <c r="G62" s="85"/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35"/>
      <c r="S62" s="88"/>
      <c r="T62" s="35"/>
      <c r="U62" s="35"/>
      <c r="V62" s="35"/>
      <c r="W62" s="148"/>
      <c r="X62" s="148"/>
      <c r="Y62" s="148"/>
    </row>
    <row r="63" spans="1:213">
      <c r="A63" s="35"/>
      <c r="B63" s="35"/>
      <c r="C63" s="85"/>
      <c r="D63" s="85"/>
      <c r="E63" s="85"/>
      <c r="F63" s="85"/>
      <c r="G63" s="85"/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35"/>
      <c r="S63" s="88"/>
      <c r="T63" s="35"/>
      <c r="U63" s="35"/>
      <c r="V63" s="35"/>
      <c r="W63" s="148"/>
      <c r="X63" s="148"/>
      <c r="Y63" s="148"/>
    </row>
    <row r="64" spans="1:213">
      <c r="A64" s="35"/>
      <c r="B64" s="35"/>
      <c r="C64" s="85"/>
      <c r="D64" s="85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5"/>
      <c r="Q64" s="85"/>
      <c r="R64" s="35"/>
      <c r="S64" s="88"/>
      <c r="T64" s="35"/>
      <c r="U64" s="35"/>
      <c r="V64" s="35"/>
      <c r="W64" s="148"/>
      <c r="X64" s="148"/>
      <c r="Y64" s="148"/>
    </row>
    <row r="65" spans="1:25">
      <c r="A65" s="35"/>
      <c r="B65" s="35"/>
      <c r="C65" s="85"/>
      <c r="D65" s="85"/>
      <c r="E65" s="85"/>
      <c r="F65" s="85"/>
      <c r="G65" s="85"/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35"/>
      <c r="S65" s="88"/>
      <c r="T65" s="35"/>
      <c r="U65" s="35"/>
      <c r="V65" s="35"/>
      <c r="W65" s="148"/>
      <c r="X65" s="148"/>
      <c r="Y65" s="148"/>
    </row>
    <row r="66" spans="1:25">
      <c r="A66" s="35"/>
      <c r="B66" s="35"/>
      <c r="C66" s="85"/>
      <c r="D66" s="85"/>
      <c r="E66" s="85"/>
      <c r="F66" s="85"/>
      <c r="G66" s="85"/>
      <c r="H66" s="85"/>
      <c r="I66" s="85"/>
      <c r="J66" s="85"/>
      <c r="K66" s="85"/>
      <c r="L66" s="85"/>
      <c r="M66" s="85"/>
      <c r="N66" s="85"/>
      <c r="O66" s="85"/>
      <c r="P66" s="85"/>
      <c r="Q66" s="85"/>
      <c r="R66" s="35"/>
      <c r="S66" s="88"/>
      <c r="T66" s="35"/>
      <c r="U66" s="35"/>
      <c r="V66" s="35"/>
      <c r="W66" s="148"/>
      <c r="X66" s="148"/>
      <c r="Y66" s="148"/>
    </row>
    <row r="67" spans="1:25">
      <c r="A67" s="35"/>
      <c r="B67" s="35"/>
      <c r="C67" s="85"/>
      <c r="D67" s="85"/>
      <c r="E67" s="85"/>
      <c r="F67" s="85"/>
      <c r="G67" s="85"/>
      <c r="H67" s="85"/>
      <c r="I67" s="85"/>
      <c r="J67" s="85"/>
      <c r="K67" s="85"/>
      <c r="L67" s="85"/>
      <c r="M67" s="85"/>
      <c r="N67" s="85"/>
      <c r="O67" s="85"/>
      <c r="P67" s="85"/>
      <c r="Q67" s="85"/>
      <c r="R67" s="35"/>
      <c r="S67" s="88"/>
      <c r="T67" s="35"/>
      <c r="U67" s="35"/>
      <c r="V67" s="35"/>
      <c r="W67" s="148"/>
      <c r="X67" s="148"/>
      <c r="Y67" s="148"/>
    </row>
    <row r="68" spans="1:25">
      <c r="A68" s="35"/>
      <c r="B68" s="35"/>
      <c r="C68" s="85"/>
      <c r="D68" s="85"/>
      <c r="E68" s="85"/>
      <c r="F68" s="85"/>
      <c r="G68" s="85"/>
      <c r="H68" s="85"/>
      <c r="I68" s="85"/>
      <c r="J68" s="85"/>
      <c r="K68" s="85"/>
      <c r="L68" s="85"/>
      <c r="M68" s="85"/>
      <c r="N68" s="85"/>
      <c r="O68" s="85"/>
      <c r="P68" s="85"/>
      <c r="Q68" s="85"/>
      <c r="R68" s="35"/>
      <c r="S68" s="88"/>
      <c r="T68" s="35"/>
      <c r="U68" s="35"/>
      <c r="V68" s="35"/>
      <c r="W68" s="148"/>
      <c r="X68" s="148"/>
      <c r="Y68" s="148"/>
    </row>
    <row r="69" spans="1:25">
      <c r="A69" s="35"/>
      <c r="B69" s="35"/>
      <c r="C69" s="85"/>
      <c r="D69" s="85"/>
      <c r="E69" s="85"/>
      <c r="F69" s="85"/>
      <c r="G69" s="85"/>
      <c r="H69" s="85"/>
      <c r="I69" s="85"/>
      <c r="J69" s="85"/>
      <c r="K69" s="85"/>
      <c r="L69" s="85"/>
      <c r="M69" s="85"/>
      <c r="N69" s="85"/>
      <c r="O69" s="85"/>
      <c r="P69" s="85"/>
      <c r="Q69" s="85"/>
      <c r="R69" s="35"/>
      <c r="S69" s="88"/>
      <c r="T69" s="35"/>
      <c r="U69" s="35"/>
      <c r="V69" s="35"/>
      <c r="W69" s="148"/>
      <c r="X69" s="148"/>
      <c r="Y69" s="148"/>
    </row>
    <row r="70" spans="1:25">
      <c r="A70" s="35"/>
      <c r="B70" s="35"/>
      <c r="C70" s="85"/>
      <c r="D70" s="85"/>
      <c r="E70" s="85"/>
      <c r="F70" s="85"/>
      <c r="G70" s="85"/>
      <c r="H70" s="85"/>
      <c r="I70" s="85"/>
      <c r="J70" s="85"/>
      <c r="K70" s="85"/>
      <c r="L70" s="85"/>
      <c r="M70" s="85"/>
      <c r="N70" s="85"/>
      <c r="O70" s="85"/>
      <c r="P70" s="85"/>
      <c r="Q70" s="85"/>
      <c r="R70" s="35"/>
      <c r="S70" s="88"/>
      <c r="T70" s="35"/>
      <c r="U70" s="35"/>
      <c r="V70" s="35"/>
      <c r="W70" s="148"/>
      <c r="X70" s="148"/>
      <c r="Y70" s="148"/>
    </row>
    <row r="71" spans="1:25">
      <c r="A71" s="35"/>
      <c r="B71" s="35"/>
      <c r="C71" s="85"/>
      <c r="D71" s="85"/>
      <c r="E71" s="85"/>
      <c r="F71" s="85"/>
      <c r="G71" s="85"/>
      <c r="H71" s="85"/>
      <c r="I71" s="85"/>
      <c r="J71" s="85"/>
      <c r="K71" s="85"/>
      <c r="L71" s="85"/>
      <c r="M71" s="85"/>
      <c r="N71" s="85"/>
      <c r="O71" s="85"/>
      <c r="P71" s="85"/>
      <c r="Q71" s="85"/>
      <c r="R71" s="35"/>
      <c r="S71" s="88"/>
      <c r="T71" s="35"/>
      <c r="U71" s="35"/>
      <c r="V71" s="35"/>
      <c r="W71" s="148"/>
      <c r="X71" s="148"/>
      <c r="Y71" s="148"/>
    </row>
    <row r="72" spans="1:25">
      <c r="A72" s="35"/>
      <c r="B72" s="35"/>
      <c r="C72" s="85"/>
      <c r="D72" s="85"/>
      <c r="E72" s="85"/>
      <c r="F72" s="85"/>
      <c r="G72" s="85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35"/>
      <c r="S72" s="88"/>
      <c r="T72" s="35"/>
      <c r="U72" s="35"/>
      <c r="V72" s="35"/>
      <c r="W72" s="148"/>
      <c r="X72" s="148"/>
      <c r="Y72" s="148"/>
    </row>
    <row r="73" spans="1:25">
      <c r="A73" s="35"/>
      <c r="B73" s="35"/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5"/>
      <c r="N73" s="85"/>
      <c r="O73" s="85"/>
      <c r="P73" s="85"/>
      <c r="Q73" s="85"/>
      <c r="R73" s="35"/>
      <c r="S73" s="88"/>
      <c r="T73" s="35"/>
      <c r="U73" s="35"/>
      <c r="V73" s="35"/>
      <c r="W73" s="148"/>
      <c r="X73" s="148"/>
      <c r="Y73" s="148"/>
    </row>
    <row r="74" spans="1:25">
      <c r="A74" s="35"/>
      <c r="B74" s="35"/>
      <c r="C74" s="85"/>
      <c r="D74" s="85"/>
      <c r="E74" s="85"/>
      <c r="F74" s="85"/>
      <c r="G74" s="85"/>
      <c r="H74" s="85"/>
      <c r="I74" s="85"/>
      <c r="J74" s="85"/>
      <c r="K74" s="85"/>
      <c r="L74" s="85"/>
      <c r="M74" s="85"/>
      <c r="N74" s="85"/>
      <c r="O74" s="85"/>
      <c r="P74" s="85"/>
      <c r="Q74" s="85"/>
      <c r="R74" s="35"/>
      <c r="S74" s="88"/>
      <c r="T74" s="35"/>
      <c r="U74" s="35"/>
      <c r="V74" s="35"/>
      <c r="W74" s="148"/>
      <c r="X74" s="148"/>
      <c r="Y74" s="148"/>
    </row>
    <row r="75" spans="1:25">
      <c r="A75" s="35"/>
      <c r="B75" s="35"/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5"/>
      <c r="N75" s="85"/>
      <c r="O75" s="85"/>
      <c r="P75" s="85"/>
      <c r="Q75" s="85"/>
      <c r="R75" s="35"/>
      <c r="S75" s="88"/>
      <c r="T75" s="35"/>
      <c r="U75" s="35"/>
      <c r="V75" s="35"/>
      <c r="W75" s="148"/>
      <c r="X75" s="148"/>
      <c r="Y75" s="148"/>
    </row>
    <row r="76" spans="1:25">
      <c r="A76" s="35"/>
      <c r="B76" s="35"/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5"/>
      <c r="N76" s="85"/>
      <c r="O76" s="85"/>
      <c r="P76" s="85"/>
      <c r="Q76" s="85"/>
      <c r="R76" s="35"/>
      <c r="S76" s="88"/>
      <c r="T76" s="35"/>
      <c r="U76" s="35"/>
      <c r="V76" s="35"/>
      <c r="W76" s="148"/>
      <c r="X76" s="148"/>
      <c r="Y76" s="148"/>
    </row>
    <row r="77" spans="1:25">
      <c r="A77" s="35"/>
      <c r="B77" s="35"/>
      <c r="C77" s="85"/>
      <c r="D77" s="85"/>
      <c r="E77" s="85"/>
      <c r="F77" s="85"/>
      <c r="G77" s="85"/>
      <c r="H77" s="85"/>
      <c r="I77" s="85"/>
      <c r="J77" s="85"/>
      <c r="K77" s="85"/>
      <c r="L77" s="85"/>
      <c r="M77" s="85"/>
      <c r="N77" s="85"/>
      <c r="O77" s="85"/>
      <c r="P77" s="85"/>
      <c r="Q77" s="85"/>
      <c r="R77" s="35"/>
      <c r="S77" s="88"/>
      <c r="T77" s="35"/>
      <c r="U77" s="35"/>
      <c r="V77" s="35"/>
      <c r="W77" s="148"/>
      <c r="X77" s="148"/>
      <c r="Y77" s="148"/>
    </row>
    <row r="78" spans="1:25">
      <c r="A78" s="35"/>
      <c r="B78" s="35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35"/>
      <c r="S78" s="88"/>
      <c r="T78" s="35"/>
      <c r="U78" s="35"/>
      <c r="V78" s="35"/>
      <c r="W78" s="148"/>
      <c r="X78" s="148"/>
      <c r="Y78" s="148"/>
    </row>
    <row r="79" spans="1:25">
      <c r="A79" s="35"/>
      <c r="B79" s="35"/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5"/>
      <c r="N79" s="85"/>
      <c r="O79" s="85"/>
      <c r="P79" s="85"/>
      <c r="Q79" s="85"/>
      <c r="R79" s="35"/>
      <c r="S79" s="88"/>
      <c r="T79" s="35"/>
      <c r="U79" s="35"/>
      <c r="V79" s="35"/>
      <c r="W79" s="148"/>
      <c r="X79" s="148"/>
      <c r="Y79" s="148"/>
    </row>
    <row r="80" spans="1:25">
      <c r="A80" s="35"/>
      <c r="B80" s="35"/>
      <c r="C80" s="85"/>
      <c r="D80" s="85"/>
      <c r="E80" s="85"/>
      <c r="F80" s="85"/>
      <c r="G80" s="85"/>
      <c r="H80" s="85"/>
      <c r="I80" s="85"/>
      <c r="J80" s="85"/>
      <c r="K80" s="85"/>
      <c r="L80" s="85"/>
      <c r="M80" s="85"/>
      <c r="N80" s="85"/>
      <c r="O80" s="85"/>
      <c r="P80" s="85"/>
      <c r="Q80" s="85"/>
      <c r="R80" s="35"/>
      <c r="S80" s="88"/>
      <c r="T80" s="35"/>
      <c r="U80" s="35"/>
      <c r="V80" s="35"/>
      <c r="W80" s="148"/>
      <c r="X80" s="148"/>
      <c r="Y80" s="148"/>
    </row>
    <row r="81" spans="1:25">
      <c r="A81" s="35"/>
      <c r="B81" s="35"/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5"/>
      <c r="N81" s="85"/>
      <c r="O81" s="85"/>
      <c r="P81" s="85"/>
      <c r="Q81" s="85"/>
      <c r="R81" s="35"/>
      <c r="S81" s="88"/>
      <c r="T81" s="35"/>
      <c r="U81" s="35"/>
      <c r="V81" s="35"/>
      <c r="W81" s="148"/>
      <c r="X81" s="148"/>
      <c r="Y81" s="148"/>
    </row>
    <row r="82" spans="1:25">
      <c r="A82" s="35"/>
      <c r="B82" s="35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35"/>
      <c r="S82" s="88"/>
      <c r="T82" s="35"/>
      <c r="U82" s="35"/>
      <c r="V82" s="35"/>
      <c r="W82" s="148"/>
      <c r="X82" s="148"/>
      <c r="Y82" s="148"/>
    </row>
    <row r="83" spans="1:25">
      <c r="A83" s="35"/>
      <c r="B83" s="35"/>
      <c r="C83" s="85"/>
      <c r="D83" s="85"/>
      <c r="E83" s="85"/>
      <c r="F83" s="85"/>
      <c r="G83" s="85"/>
      <c r="H83" s="85"/>
      <c r="I83" s="85"/>
      <c r="J83" s="85"/>
      <c r="K83" s="85"/>
      <c r="L83" s="85"/>
      <c r="M83" s="85"/>
      <c r="N83" s="85"/>
      <c r="O83" s="85"/>
      <c r="P83" s="85"/>
      <c r="Q83" s="85"/>
      <c r="R83" s="35"/>
      <c r="S83" s="88"/>
      <c r="T83" s="35"/>
      <c r="U83" s="35"/>
      <c r="V83" s="35"/>
      <c r="W83" s="148"/>
      <c r="X83" s="148"/>
      <c r="Y83" s="148"/>
    </row>
    <row r="84" spans="1:25">
      <c r="A84" s="35"/>
      <c r="B84" s="35"/>
      <c r="C84" s="85"/>
      <c r="D84" s="85"/>
      <c r="E84" s="85"/>
      <c r="F84" s="85"/>
      <c r="G84" s="85"/>
      <c r="H84" s="85"/>
      <c r="I84" s="85"/>
      <c r="J84" s="85"/>
      <c r="K84" s="85"/>
      <c r="L84" s="85"/>
      <c r="M84" s="85"/>
      <c r="N84" s="85"/>
      <c r="O84" s="85"/>
      <c r="P84" s="85"/>
      <c r="Q84" s="85"/>
      <c r="R84" s="35"/>
      <c r="S84" s="88"/>
      <c r="T84" s="35"/>
      <c r="U84" s="35"/>
      <c r="V84" s="35"/>
      <c r="W84" s="148"/>
      <c r="X84" s="148"/>
      <c r="Y84" s="148"/>
    </row>
    <row r="85" spans="1:25">
      <c r="A85" s="35"/>
      <c r="B85" s="35"/>
      <c r="C85" s="85"/>
      <c r="D85" s="85"/>
      <c r="E85" s="85"/>
      <c r="F85" s="85"/>
      <c r="G85" s="85"/>
      <c r="H85" s="85"/>
      <c r="I85" s="85"/>
      <c r="J85" s="85"/>
      <c r="K85" s="85"/>
      <c r="L85" s="85"/>
      <c r="M85" s="85"/>
      <c r="N85" s="85"/>
      <c r="O85" s="85"/>
      <c r="P85" s="85"/>
      <c r="Q85" s="85"/>
      <c r="R85" s="35"/>
      <c r="S85" s="88"/>
      <c r="T85" s="35"/>
      <c r="U85" s="35"/>
      <c r="V85" s="35"/>
      <c r="W85" s="148"/>
      <c r="X85" s="148"/>
      <c r="Y85" s="148"/>
    </row>
    <row r="86" spans="1:25">
      <c r="A86" s="35"/>
      <c r="B86" s="35"/>
      <c r="C86" s="85"/>
      <c r="D86" s="85"/>
      <c r="E86" s="85"/>
      <c r="F86" s="85"/>
      <c r="G86" s="85"/>
      <c r="H86" s="85"/>
      <c r="I86" s="85"/>
      <c r="J86" s="85"/>
      <c r="K86" s="85"/>
      <c r="L86" s="85"/>
      <c r="M86" s="85"/>
      <c r="N86" s="85"/>
      <c r="O86" s="85"/>
      <c r="P86" s="85"/>
      <c r="Q86" s="85"/>
      <c r="R86" s="35"/>
      <c r="S86" s="88"/>
      <c r="T86" s="35"/>
      <c r="U86" s="35"/>
      <c r="V86" s="35"/>
      <c r="W86" s="148"/>
      <c r="X86" s="148"/>
      <c r="Y86" s="148"/>
    </row>
    <row r="87" spans="1:25">
      <c r="A87" s="35"/>
      <c r="B87" s="35"/>
      <c r="C87" s="85"/>
      <c r="D87" s="85"/>
      <c r="E87" s="85"/>
      <c r="F87" s="85"/>
      <c r="G87" s="85"/>
      <c r="H87" s="85"/>
      <c r="I87" s="85"/>
      <c r="J87" s="85"/>
      <c r="K87" s="85"/>
      <c r="L87" s="85"/>
      <c r="M87" s="85"/>
      <c r="N87" s="85"/>
      <c r="O87" s="85"/>
      <c r="P87" s="85"/>
      <c r="Q87" s="85"/>
      <c r="R87" s="35"/>
      <c r="S87" s="88"/>
      <c r="T87" s="35"/>
      <c r="U87" s="35"/>
      <c r="V87" s="35"/>
      <c r="W87" s="148"/>
      <c r="X87" s="148"/>
      <c r="Y87" s="148"/>
    </row>
    <row r="88" spans="1:25">
      <c r="A88" s="35"/>
      <c r="B88" s="35"/>
      <c r="C88" s="85"/>
      <c r="D88" s="85"/>
      <c r="E88" s="85"/>
      <c r="F88" s="85"/>
      <c r="G88" s="85"/>
      <c r="H88" s="85"/>
      <c r="I88" s="85"/>
      <c r="J88" s="85"/>
      <c r="K88" s="85"/>
      <c r="L88" s="85"/>
      <c r="M88" s="85"/>
      <c r="N88" s="85"/>
      <c r="O88" s="85"/>
      <c r="P88" s="85"/>
      <c r="Q88" s="85"/>
      <c r="R88" s="35"/>
      <c r="S88" s="88"/>
      <c r="T88" s="35"/>
      <c r="U88" s="35"/>
      <c r="V88" s="35"/>
      <c r="W88" s="148"/>
      <c r="X88" s="148"/>
      <c r="Y88" s="148"/>
    </row>
    <row r="89" spans="1:25">
      <c r="A89" s="35"/>
      <c r="B89" s="35"/>
      <c r="C89" s="85"/>
      <c r="D89" s="85"/>
      <c r="E89" s="85"/>
      <c r="F89" s="85"/>
      <c r="G89" s="85"/>
      <c r="H89" s="85"/>
      <c r="I89" s="85"/>
      <c r="J89" s="85"/>
      <c r="K89" s="85"/>
      <c r="L89" s="85"/>
      <c r="M89" s="85"/>
      <c r="N89" s="85"/>
      <c r="O89" s="85"/>
      <c r="P89" s="85"/>
      <c r="Q89" s="85"/>
      <c r="R89" s="35"/>
      <c r="S89" s="88"/>
      <c r="T89" s="35"/>
      <c r="U89" s="35"/>
      <c r="V89" s="35"/>
      <c r="W89" s="148"/>
      <c r="X89" s="148"/>
      <c r="Y89" s="148"/>
    </row>
    <row r="90" spans="1:25">
      <c r="A90" s="35"/>
      <c r="B90" s="35"/>
      <c r="C90" s="85"/>
      <c r="D90" s="85"/>
      <c r="E90" s="85"/>
      <c r="F90" s="85"/>
      <c r="G90" s="85"/>
      <c r="H90" s="85"/>
      <c r="I90" s="85"/>
      <c r="J90" s="85"/>
      <c r="K90" s="85"/>
      <c r="L90" s="85"/>
      <c r="M90" s="85"/>
      <c r="N90" s="85"/>
      <c r="O90" s="85"/>
      <c r="P90" s="85"/>
      <c r="Q90" s="85"/>
      <c r="R90" s="35"/>
      <c r="S90" s="88"/>
      <c r="T90" s="35"/>
      <c r="U90" s="35"/>
      <c r="V90" s="35"/>
      <c r="W90" s="148"/>
      <c r="X90" s="148"/>
      <c r="Y90" s="148"/>
    </row>
    <row r="91" spans="1:25">
      <c r="A91" s="35"/>
      <c r="B91" s="35"/>
      <c r="C91" s="85"/>
      <c r="D91" s="85"/>
      <c r="E91" s="85"/>
      <c r="F91" s="85"/>
      <c r="G91" s="85"/>
      <c r="H91" s="85"/>
      <c r="I91" s="85"/>
      <c r="J91" s="85"/>
      <c r="K91" s="85"/>
      <c r="L91" s="85"/>
      <c r="M91" s="85"/>
      <c r="N91" s="85"/>
      <c r="O91" s="85"/>
      <c r="P91" s="85"/>
      <c r="Q91" s="85"/>
      <c r="R91" s="35"/>
      <c r="S91" s="88"/>
      <c r="T91" s="35"/>
      <c r="U91" s="35"/>
      <c r="V91" s="35"/>
      <c r="W91" s="148"/>
      <c r="X91" s="148"/>
      <c r="Y91" s="148"/>
    </row>
    <row r="92" spans="1:25">
      <c r="A92" s="35"/>
      <c r="B92" s="35"/>
      <c r="C92" s="85"/>
      <c r="D92" s="85"/>
      <c r="E92" s="85"/>
      <c r="F92" s="85"/>
      <c r="G92" s="85"/>
      <c r="H92" s="85"/>
      <c r="I92" s="85"/>
      <c r="J92" s="85"/>
      <c r="K92" s="85"/>
      <c r="L92" s="85"/>
      <c r="M92" s="85"/>
      <c r="N92" s="85"/>
      <c r="O92" s="85"/>
      <c r="P92" s="85"/>
      <c r="Q92" s="85"/>
      <c r="R92" s="35"/>
      <c r="S92" s="88"/>
      <c r="T92" s="35"/>
      <c r="U92" s="35"/>
      <c r="V92" s="35"/>
      <c r="W92" s="148"/>
      <c r="X92" s="148"/>
      <c r="Y92" s="148"/>
    </row>
    <row r="93" spans="1:25">
      <c r="A93" s="35"/>
      <c r="B93" s="35"/>
      <c r="C93" s="85"/>
      <c r="D93" s="85"/>
      <c r="E93" s="85"/>
      <c r="F93" s="85"/>
      <c r="G93" s="85"/>
      <c r="H93" s="85"/>
      <c r="I93" s="85"/>
      <c r="J93" s="85"/>
      <c r="K93" s="85"/>
      <c r="L93" s="85"/>
      <c r="M93" s="85"/>
      <c r="N93" s="85"/>
      <c r="O93" s="85"/>
      <c r="P93" s="85"/>
      <c r="Q93" s="85"/>
      <c r="R93" s="35"/>
      <c r="S93" s="88"/>
      <c r="T93" s="35"/>
      <c r="U93" s="35"/>
      <c r="V93" s="35"/>
      <c r="W93" s="148"/>
      <c r="X93" s="148"/>
      <c r="Y93" s="148"/>
    </row>
    <row r="94" spans="1:25">
      <c r="A94" s="35"/>
      <c r="B94" s="35"/>
      <c r="C94" s="85"/>
      <c r="D94" s="85"/>
      <c r="E94" s="85"/>
      <c r="F94" s="85"/>
      <c r="G94" s="85"/>
      <c r="H94" s="85"/>
      <c r="I94" s="85"/>
      <c r="J94" s="85"/>
      <c r="K94" s="85"/>
      <c r="L94" s="85"/>
      <c r="M94" s="85"/>
      <c r="N94" s="85"/>
      <c r="O94" s="85"/>
      <c r="P94" s="85"/>
      <c r="Q94" s="85"/>
      <c r="R94" s="35"/>
      <c r="S94" s="88"/>
      <c r="T94" s="35"/>
      <c r="U94" s="35"/>
      <c r="V94" s="35"/>
      <c r="W94" s="148"/>
      <c r="X94" s="148"/>
      <c r="Y94" s="148"/>
    </row>
    <row r="95" spans="1:25">
      <c r="A95" s="35"/>
      <c r="B95" s="35"/>
      <c r="C95" s="85"/>
      <c r="D95" s="85"/>
      <c r="E95" s="85"/>
      <c r="F95" s="85"/>
      <c r="G95" s="85"/>
      <c r="H95" s="85"/>
      <c r="I95" s="85"/>
      <c r="J95" s="85"/>
      <c r="K95" s="85"/>
      <c r="L95" s="85"/>
      <c r="M95" s="85"/>
      <c r="N95" s="85"/>
      <c r="O95" s="85"/>
      <c r="P95" s="85"/>
      <c r="Q95" s="85"/>
      <c r="R95" s="35"/>
      <c r="S95" s="88"/>
      <c r="T95" s="35"/>
      <c r="U95" s="35"/>
      <c r="V95" s="35"/>
      <c r="W95" s="148"/>
      <c r="X95" s="148"/>
      <c r="Y95" s="148"/>
    </row>
    <row r="96" spans="1:25">
      <c r="A96" s="35"/>
      <c r="B96" s="35"/>
      <c r="C96" s="85"/>
      <c r="D96" s="85"/>
      <c r="E96" s="85"/>
      <c r="F96" s="85"/>
      <c r="G96" s="85"/>
      <c r="H96" s="85"/>
      <c r="I96" s="85"/>
      <c r="J96" s="85"/>
      <c r="K96" s="85"/>
      <c r="L96" s="85"/>
      <c r="M96" s="85"/>
      <c r="N96" s="85"/>
      <c r="O96" s="85"/>
      <c r="P96" s="85"/>
      <c r="Q96" s="85"/>
      <c r="R96" s="35"/>
      <c r="S96" s="88"/>
      <c r="T96" s="35"/>
      <c r="U96" s="35"/>
      <c r="V96" s="35"/>
      <c r="W96" s="148"/>
      <c r="X96" s="148"/>
      <c r="Y96" s="148"/>
    </row>
    <row r="97" spans="1:25">
      <c r="A97" s="35"/>
      <c r="B97" s="35"/>
      <c r="C97" s="85"/>
      <c r="D97" s="85"/>
      <c r="E97" s="85"/>
      <c r="F97" s="85"/>
      <c r="G97" s="85"/>
      <c r="H97" s="85"/>
      <c r="I97" s="85"/>
      <c r="J97" s="85"/>
      <c r="K97" s="85"/>
      <c r="L97" s="85"/>
      <c r="M97" s="85"/>
      <c r="N97" s="85"/>
      <c r="O97" s="85"/>
      <c r="P97" s="85"/>
      <c r="Q97" s="85"/>
      <c r="R97" s="30"/>
      <c r="S97" s="138"/>
      <c r="T97" s="30"/>
      <c r="U97" s="30"/>
      <c r="V97" s="30"/>
      <c r="W97" s="148"/>
      <c r="X97" s="148"/>
      <c r="Y97" s="148"/>
    </row>
    <row r="98" spans="1:25">
      <c r="A98" s="35"/>
      <c r="B98" s="35"/>
      <c r="C98" s="85"/>
      <c r="D98" s="85"/>
      <c r="E98" s="85"/>
      <c r="F98" s="85"/>
      <c r="G98" s="85"/>
      <c r="H98" s="85"/>
      <c r="I98" s="85"/>
      <c r="J98" s="85"/>
      <c r="K98" s="85"/>
      <c r="L98" s="85"/>
      <c r="M98" s="85"/>
      <c r="N98" s="85"/>
      <c r="O98" s="85"/>
      <c r="P98" s="85"/>
      <c r="Q98" s="85"/>
      <c r="R98" s="30"/>
      <c r="S98" s="138"/>
      <c r="T98" s="30"/>
      <c r="U98" s="30"/>
      <c r="V98" s="30"/>
      <c r="W98" s="148"/>
      <c r="X98" s="148"/>
      <c r="Y98" s="148"/>
    </row>
    <row r="99" spans="1:25">
      <c r="A99" s="35"/>
      <c r="B99" s="35"/>
      <c r="C99" s="85"/>
      <c r="D99" s="85"/>
      <c r="E99" s="85"/>
      <c r="F99" s="85"/>
      <c r="G99" s="85"/>
      <c r="H99" s="85"/>
      <c r="I99" s="85"/>
      <c r="J99" s="85"/>
      <c r="K99" s="85"/>
      <c r="L99" s="85"/>
      <c r="M99" s="85"/>
      <c r="N99" s="85"/>
      <c r="O99" s="85"/>
      <c r="P99" s="85"/>
      <c r="Q99" s="85"/>
      <c r="R99" s="30"/>
      <c r="S99" s="138"/>
      <c r="T99" s="30"/>
      <c r="U99" s="30"/>
      <c r="V99" s="30"/>
      <c r="W99" s="148"/>
      <c r="X99" s="148"/>
      <c r="Y99" s="148"/>
    </row>
    <row r="100" spans="1:25">
      <c r="A100" s="35"/>
      <c r="B100" s="35"/>
      <c r="C100" s="85"/>
      <c r="D100" s="85"/>
      <c r="E100" s="85"/>
      <c r="F100" s="85"/>
      <c r="G100" s="85"/>
      <c r="H100" s="85"/>
      <c r="I100" s="85"/>
      <c r="J100" s="85"/>
      <c r="K100" s="85"/>
      <c r="L100" s="85"/>
      <c r="M100" s="85"/>
      <c r="N100" s="85"/>
      <c r="O100" s="85"/>
      <c r="P100" s="85"/>
      <c r="Q100" s="85"/>
      <c r="R100" s="30"/>
      <c r="S100" s="138"/>
      <c r="T100" s="30"/>
      <c r="U100" s="30"/>
      <c r="V100" s="30"/>
      <c r="W100" s="148"/>
      <c r="X100" s="148"/>
      <c r="Y100" s="148"/>
    </row>
    <row r="101" spans="1:25">
      <c r="A101" s="35"/>
      <c r="B101" s="35"/>
      <c r="C101" s="148"/>
      <c r="D101" s="138"/>
      <c r="E101" s="138"/>
      <c r="F101" s="160"/>
      <c r="G101" s="30"/>
      <c r="H101" s="161"/>
      <c r="I101" s="162"/>
      <c r="J101" s="163"/>
      <c r="K101" s="30"/>
      <c r="L101" s="30"/>
      <c r="M101" s="30"/>
      <c r="N101" s="30"/>
      <c r="O101" s="30"/>
      <c r="P101" s="30"/>
      <c r="Q101" s="30"/>
      <c r="R101" s="30"/>
      <c r="S101" s="138"/>
      <c r="T101" s="30"/>
      <c r="U101" s="30"/>
      <c r="V101" s="30"/>
      <c r="W101" s="148"/>
      <c r="X101" s="148"/>
      <c r="Y101" s="148"/>
    </row>
    <row r="102" spans="1:25">
      <c r="A102" s="35"/>
      <c r="B102" s="35"/>
      <c r="C102" s="148"/>
      <c r="D102" s="138"/>
      <c r="E102" s="138"/>
      <c r="F102" s="160"/>
      <c r="G102" s="30"/>
      <c r="H102" s="161"/>
      <c r="I102" s="162"/>
      <c r="J102" s="163"/>
      <c r="K102" s="30"/>
      <c r="L102" s="30"/>
      <c r="M102" s="30"/>
      <c r="N102" s="30"/>
      <c r="O102" s="30"/>
      <c r="P102" s="30"/>
      <c r="Q102" s="30"/>
      <c r="R102" s="30"/>
      <c r="S102" s="138"/>
      <c r="T102" s="30"/>
      <c r="U102" s="30"/>
      <c r="V102" s="30"/>
      <c r="W102" s="148"/>
      <c r="X102" s="148"/>
      <c r="Y102" s="148"/>
    </row>
    <row r="103" spans="1:25">
      <c r="A103" s="35"/>
      <c r="B103" s="35"/>
      <c r="C103" s="35"/>
      <c r="D103" s="138"/>
      <c r="E103" s="138"/>
      <c r="F103" s="160"/>
      <c r="G103" s="30"/>
      <c r="H103" s="161"/>
      <c r="I103" s="162"/>
      <c r="J103" s="163"/>
      <c r="K103" s="30"/>
      <c r="L103" s="30"/>
      <c r="M103" s="30"/>
      <c r="N103" s="30"/>
      <c r="O103" s="30"/>
      <c r="P103" s="30"/>
      <c r="Q103" s="30"/>
      <c r="R103" s="30"/>
      <c r="S103" s="138"/>
      <c r="T103" s="30"/>
      <c r="U103" s="30"/>
      <c r="V103" s="30"/>
      <c r="W103" s="148"/>
      <c r="X103" s="148"/>
      <c r="Y103" s="148"/>
    </row>
    <row r="104" spans="1:25">
      <c r="A104" s="35"/>
      <c r="B104" s="35"/>
      <c r="C104" s="30"/>
      <c r="D104" s="138"/>
      <c r="E104" s="138"/>
      <c r="F104" s="160"/>
      <c r="G104" s="30"/>
      <c r="H104" s="161"/>
      <c r="I104" s="162"/>
      <c r="J104" s="163"/>
      <c r="K104" s="30"/>
      <c r="L104" s="30"/>
      <c r="M104" s="30"/>
      <c r="N104" s="30"/>
      <c r="O104" s="30"/>
      <c r="P104" s="30"/>
      <c r="Q104" s="30"/>
      <c r="R104" s="30"/>
      <c r="S104" s="138"/>
      <c r="T104" s="30"/>
      <c r="U104" s="30"/>
      <c r="V104" s="30"/>
      <c r="W104" s="148"/>
      <c r="X104" s="148"/>
      <c r="Y104" s="148"/>
    </row>
    <row r="105" spans="1:25">
      <c r="A105" s="35"/>
      <c r="B105" s="35"/>
      <c r="C105" s="30"/>
      <c r="D105" s="138"/>
      <c r="E105" s="138"/>
      <c r="F105" s="160"/>
      <c r="G105" s="30"/>
      <c r="H105" s="161"/>
      <c r="I105" s="162"/>
      <c r="J105" s="163"/>
      <c r="K105" s="30"/>
      <c r="L105" s="30"/>
      <c r="M105" s="30"/>
      <c r="N105" s="30"/>
      <c r="O105" s="30"/>
      <c r="P105" s="30"/>
      <c r="Q105" s="30"/>
      <c r="R105" s="30"/>
      <c r="S105" s="138"/>
      <c r="T105" s="30"/>
      <c r="U105" s="30"/>
      <c r="V105" s="30"/>
      <c r="W105" s="148"/>
      <c r="X105" s="148"/>
      <c r="Y105" s="148"/>
    </row>
    <row r="106" spans="1:25">
      <c r="A106" s="35"/>
      <c r="B106" s="35"/>
      <c r="C106" s="30"/>
      <c r="D106" s="138"/>
      <c r="E106" s="138"/>
      <c r="F106" s="160"/>
      <c r="G106" s="30"/>
      <c r="H106" s="161"/>
      <c r="I106" s="162"/>
      <c r="J106" s="163"/>
      <c r="K106" s="30"/>
      <c r="L106" s="30"/>
      <c r="M106" s="30"/>
      <c r="N106" s="30"/>
      <c r="O106" s="30"/>
      <c r="P106" s="30"/>
      <c r="Q106" s="30"/>
      <c r="R106" s="30"/>
      <c r="S106" s="138"/>
      <c r="T106" s="30"/>
      <c r="U106" s="30"/>
      <c r="V106" s="30"/>
      <c r="W106" s="148"/>
      <c r="X106" s="148"/>
      <c r="Y106" s="148"/>
    </row>
    <row r="107" spans="1:25">
      <c r="A107" s="35"/>
      <c r="B107" s="35"/>
      <c r="C107" s="30"/>
      <c r="D107" s="138"/>
      <c r="E107" s="138"/>
      <c r="F107" s="160"/>
      <c r="G107" s="30"/>
      <c r="H107" s="161"/>
      <c r="I107" s="162"/>
      <c r="J107" s="163"/>
      <c r="K107" s="30"/>
      <c r="L107" s="30"/>
      <c r="M107" s="30"/>
      <c r="N107" s="30"/>
      <c r="O107" s="30"/>
      <c r="P107" s="30"/>
      <c r="Q107" s="30"/>
      <c r="R107" s="30"/>
      <c r="S107" s="138"/>
      <c r="T107" s="30"/>
      <c r="U107" s="30"/>
      <c r="V107" s="30"/>
      <c r="W107" s="148"/>
      <c r="X107" s="148"/>
      <c r="Y107" s="148"/>
    </row>
    <row r="108" spans="1:25">
      <c r="A108" s="35"/>
      <c r="B108" s="35"/>
      <c r="C108" s="30"/>
      <c r="D108" s="138"/>
      <c r="E108" s="138"/>
      <c r="F108" s="160"/>
      <c r="G108" s="30"/>
      <c r="H108" s="161"/>
      <c r="I108" s="162"/>
      <c r="J108" s="163"/>
      <c r="K108" s="30"/>
      <c r="L108" s="30"/>
      <c r="M108" s="30"/>
      <c r="N108" s="30"/>
      <c r="O108" s="30"/>
      <c r="P108" s="30"/>
      <c r="Q108" s="30"/>
      <c r="R108" s="30"/>
      <c r="S108" s="138"/>
      <c r="T108" s="30"/>
      <c r="U108" s="30"/>
      <c r="V108" s="30"/>
      <c r="W108" s="148"/>
      <c r="X108" s="148"/>
      <c r="Y108" s="148"/>
    </row>
    <row r="109" spans="1:25">
      <c r="A109" s="35"/>
      <c r="B109" s="35"/>
      <c r="C109" s="30"/>
      <c r="D109" s="138"/>
      <c r="E109" s="138"/>
      <c r="F109" s="160"/>
      <c r="G109" s="30"/>
      <c r="H109" s="161"/>
      <c r="I109" s="162"/>
      <c r="J109" s="163"/>
      <c r="K109" s="30"/>
      <c r="L109" s="30"/>
      <c r="M109" s="30"/>
      <c r="N109" s="30"/>
      <c r="O109" s="30"/>
      <c r="P109" s="30"/>
      <c r="Q109" s="30"/>
      <c r="R109" s="30"/>
      <c r="S109" s="138"/>
      <c r="T109" s="30"/>
      <c r="U109" s="30"/>
      <c r="V109" s="30"/>
      <c r="W109" s="148"/>
      <c r="X109" s="148"/>
      <c r="Y109" s="148"/>
    </row>
    <row r="110" spans="1:25">
      <c r="A110" s="35"/>
      <c r="B110" s="35"/>
      <c r="C110" s="30"/>
      <c r="D110" s="138"/>
      <c r="E110" s="138"/>
      <c r="F110" s="160"/>
      <c r="G110" s="30"/>
      <c r="H110" s="161"/>
      <c r="I110" s="162"/>
      <c r="J110" s="163"/>
      <c r="K110" s="30"/>
      <c r="L110" s="30"/>
      <c r="M110" s="30"/>
      <c r="N110" s="30"/>
      <c r="O110" s="30"/>
      <c r="P110" s="30"/>
      <c r="Q110" s="30"/>
      <c r="R110" s="30"/>
      <c r="S110" s="138"/>
      <c r="T110" s="30"/>
      <c r="U110" s="30"/>
      <c r="V110" s="30"/>
      <c r="W110" s="148"/>
      <c r="X110" s="148"/>
      <c r="Y110" s="148"/>
    </row>
    <row r="111" spans="1:25">
      <c r="F111" s="92"/>
      <c r="H111" s="93"/>
      <c r="I111" s="94"/>
      <c r="J111" s="95"/>
    </row>
    <row r="112" spans="1:25">
      <c r="F112" s="92"/>
      <c r="H112" s="93"/>
      <c r="I112" s="94"/>
      <c r="J112" s="95"/>
    </row>
  </sheetData>
  <mergeCells count="8">
    <mergeCell ref="D29:F29"/>
    <mergeCell ref="S4:W4"/>
    <mergeCell ref="D4:M4"/>
    <mergeCell ref="A13:B13"/>
    <mergeCell ref="D1:M2"/>
    <mergeCell ref="D10:J10"/>
    <mergeCell ref="D16:N16"/>
    <mergeCell ref="D23:G23"/>
  </mergeCells>
  <conditionalFormatting sqref="O2:O3">
    <cfRule type="duplicateValues" dxfId="0" priority="1"/>
  </conditionalFormatting>
  <dataValidations count="2">
    <dataValidation type="list" allowBlank="1" showInputMessage="1" showErrorMessage="1" sqref="B8" xr:uid="{00000000-0002-0000-0700-000000000000}">
      <formula1>inclusion</formula1>
    </dataValidation>
    <dataValidation type="decimal" allowBlank="1" showInputMessage="1" showErrorMessage="1" error="Tiene que ingresar un número entre 0 y 100. Pueden ser decimales." sqref="F12:F14" xr:uid="{166523DD-89CF-4FEE-B938-6F4633CB01CD}">
      <formula1>0</formula1>
      <formula2>1</formula2>
    </dataValidation>
  </dataValidations>
  <pageMargins left="0.25" right="0.25" top="0.75" bottom="0.75" header="0.3" footer="0.3"/>
  <pageSetup paperSize="9" scale="1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exchange_bonds_1">
                <anchor moveWithCells="1" sizeWithCells="1">
                  <from>
                    <xdr:col>0</xdr:col>
                    <xdr:colOff>277586</xdr:colOff>
                    <xdr:row>16</xdr:row>
                    <xdr:rowOff>190500</xdr:rowOff>
                  </from>
                  <to>
                    <xdr:col>1</xdr:col>
                    <xdr:colOff>647700</xdr:colOff>
                    <xdr:row>18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target_bonds">
                <anchor moveWithCells="1" sizeWithCells="1">
                  <from>
                    <xdr:col>0</xdr:col>
                    <xdr:colOff>277586</xdr:colOff>
                    <xdr:row>18</xdr:row>
                    <xdr:rowOff>76200</xdr:rowOff>
                  </from>
                  <to>
                    <xdr:col>1</xdr:col>
                    <xdr:colOff>647700</xdr:colOff>
                    <xdr:row>19</xdr:row>
                    <xdr:rowOff>141514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6" name="Button 5">
              <controlPr defaultSize="0" print="0" autoFill="0" autoPict="0" macro="[0]!interp_met">
                <anchor moveWithCells="1" sizeWithCells="1">
                  <from>
                    <xdr:col>0</xdr:col>
                    <xdr:colOff>277586</xdr:colOff>
                    <xdr:row>19</xdr:row>
                    <xdr:rowOff>179614</xdr:rowOff>
                  </from>
                  <to>
                    <xdr:col>1</xdr:col>
                    <xdr:colOff>647700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7" name="Button 6">
              <controlPr defaultSize="0" print="0" autoFill="0" autoPict="0" macro="[0]!get_switch_pdf">
                <anchor moveWithCells="1" sizeWithCells="1">
                  <from>
                    <xdr:col>0</xdr:col>
                    <xdr:colOff>277586</xdr:colOff>
                    <xdr:row>21</xdr:row>
                    <xdr:rowOff>87086</xdr:rowOff>
                  </from>
                  <to>
                    <xdr:col>1</xdr:col>
                    <xdr:colOff>647700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8" name="Button 7">
              <controlPr defaultSize="0" print="0" autoFill="0" autoPict="0" macro="[0]!cash_flow_analysis">
                <anchor moveWithCells="1" sizeWithCells="1">
                  <from>
                    <xdr:col>0</xdr:col>
                    <xdr:colOff>277586</xdr:colOff>
                    <xdr:row>22</xdr:row>
                    <xdr:rowOff>190500</xdr:rowOff>
                  </from>
                  <to>
                    <xdr:col>1</xdr:col>
                    <xdr:colOff>647700</xdr:colOff>
                    <xdr:row>24</xdr:row>
                    <xdr:rowOff>48986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28">
    <tabColor theme="1"/>
  </sheetPr>
  <dimension ref="A1:V15"/>
  <sheetViews>
    <sheetView workbookViewId="0">
      <selection activeCell="C9" sqref="C9"/>
    </sheetView>
  </sheetViews>
  <sheetFormatPr defaultColWidth="11.4609375" defaultRowHeight="14.6"/>
  <cols>
    <col min="1" max="1" width="11" style="233" bestFit="1" customWidth="1"/>
    <col min="2" max="2" width="20.4609375" style="1" bestFit="1" customWidth="1"/>
    <col min="3" max="3" width="12.4609375" style="233" bestFit="1" customWidth="1"/>
    <col min="4" max="4" width="11.4609375" style="233" bestFit="1" customWidth="1"/>
    <col min="5" max="5" width="8.3828125" style="233" bestFit="1" customWidth="1"/>
    <col min="6" max="6" width="5.4609375" style="233" bestFit="1" customWidth="1"/>
    <col min="7" max="8" width="10" style="233" bestFit="1" customWidth="1"/>
    <col min="9" max="9" width="10.4609375" style="233" bestFit="1" customWidth="1"/>
    <col min="10" max="11" width="8" style="233" bestFit="1" customWidth="1"/>
    <col min="12" max="12" width="8.3828125" style="233" bestFit="1" customWidth="1"/>
    <col min="13" max="13" width="11" style="233" bestFit="1" customWidth="1"/>
    <col min="14" max="14" width="11.15234375" style="241" bestFit="1" customWidth="1"/>
    <col min="15" max="15" width="10.15234375" style="241" bestFit="1" customWidth="1"/>
    <col min="16" max="16" width="9.4609375" style="241" bestFit="1" customWidth="1"/>
    <col min="17" max="17" width="7.4609375" style="241" bestFit="1" customWidth="1"/>
    <col min="18" max="18" width="9" style="241" bestFit="1" customWidth="1"/>
    <col min="19" max="19" width="10.84375" style="254" bestFit="1" customWidth="1"/>
    <col min="20" max="20" width="7.15234375" style="254" bestFit="1" customWidth="1"/>
    <col min="21" max="21" width="11.84375" style="1" bestFit="1" customWidth="1"/>
    <col min="22" max="22" width="11.4609375" style="254"/>
    <col min="23" max="16384" width="11.4609375" style="1"/>
  </cols>
  <sheetData>
    <row r="1" spans="1:22">
      <c r="A1" s="173" t="s">
        <v>616</v>
      </c>
      <c r="B1" s="244" t="s">
        <v>402</v>
      </c>
      <c r="C1" s="244" t="s">
        <v>107</v>
      </c>
      <c r="D1" s="233" t="s">
        <v>658</v>
      </c>
      <c r="E1" s="233" t="s">
        <v>109</v>
      </c>
      <c r="F1" s="233" t="s">
        <v>620</v>
      </c>
      <c r="G1" s="233" t="s">
        <v>621</v>
      </c>
      <c r="H1" s="233" t="s">
        <v>622</v>
      </c>
      <c r="I1" s="233" t="s">
        <v>623</v>
      </c>
      <c r="J1" s="233" t="s">
        <v>624</v>
      </c>
      <c r="K1" s="233" t="s">
        <v>625</v>
      </c>
      <c r="L1" s="233" t="s">
        <v>626</v>
      </c>
      <c r="M1" s="233" t="s">
        <v>302</v>
      </c>
      <c r="N1" s="241" t="s">
        <v>419</v>
      </c>
      <c r="O1" s="241" t="s">
        <v>627</v>
      </c>
      <c r="P1" s="241" t="s">
        <v>617</v>
      </c>
      <c r="Q1" s="241" t="s">
        <v>618</v>
      </c>
      <c r="R1" s="1" t="s">
        <v>659</v>
      </c>
      <c r="S1" s="254" t="s">
        <v>420</v>
      </c>
      <c r="T1" s="254" t="s">
        <v>627</v>
      </c>
      <c r="U1" s="1" t="s">
        <v>629</v>
      </c>
      <c r="V1" s="254" t="s">
        <v>630</v>
      </c>
    </row>
    <row r="2" spans="1:22">
      <c r="A2" s="238">
        <f>intercambio!$B$6</f>
        <v>43798</v>
      </c>
      <c r="B2" s="244" t="s">
        <v>227</v>
      </c>
      <c r="C2" s="244" t="str">
        <f ca="1">OFFSET(bond_calc!$A$1,MATCH(bond_swaps!$B2,bond_calc!$A:$A,0)-1,1)</f>
        <v>21/07/2025</v>
      </c>
      <c r="D2" s="240">
        <f ca="1">OFFSET(bond_calc!$A$1,MATCH(bond_swaps!$B2,bond_calc!$A:$A,0)-1,2)</f>
        <v>7.3499999999999996E-2</v>
      </c>
      <c r="E2" s="233" t="str">
        <f ca="1">OFFSET(bond_calc!$A$1,MATCH(bond_swaps!$B2,bond_calc!$A:$A,0)-1,3)</f>
        <v>USD</v>
      </c>
      <c r="F2" s="233">
        <v>2</v>
      </c>
      <c r="G2" s="240">
        <f ca="1">OFFSET(bond_calc!$A$1,MATCH(bond_swaps!$B2,bond_calc!$A:$A,0)-1,4)</f>
        <v>2.581E-2</v>
      </c>
      <c r="H2" s="240">
        <f ca="1">OFFSET(bond_calc!$A$1,MATCH(bond_swaps!$B2,bond_calc!$A:$A,0)-1,5)</f>
        <v>2.5239999999999999E-2</v>
      </c>
      <c r="I2" s="240">
        <f ca="1">OFFSET(bond_calc!$A$1,MATCH(bond_swaps!$B2,bond_calc!$A:$A,0)-1,6)</f>
        <v>2.5520000000000001E-2</v>
      </c>
      <c r="J2" s="233">
        <f ca="1">OFFSET(bond_calc!$A$1,MATCH(bond_swaps!$B2,bond_calc!$A:$A,0)-1,7)</f>
        <v>126.73</v>
      </c>
      <c r="K2" s="233">
        <f ca="1">OFFSET(bond_calc!$A$1,MATCH(bond_swaps!$B2,bond_calc!$A:$A,0)-1,8)</f>
        <v>127.10299999999999</v>
      </c>
      <c r="L2" s="233">
        <f ca="1">OFFSET(bond_calc!$A$1,MATCH(bond_swaps!$B2,bond_calc!$A:$A,0)-1,9)</f>
        <v>126.917</v>
      </c>
      <c r="M2" s="7">
        <f t="shared" ref="M2:M9" ca="1" si="0">($C2-$A$2)/365</f>
        <v>5.646575342465753</v>
      </c>
      <c r="N2" s="245" t="e">
        <f ca="1">((((1+Interp(M2,sov_bond!$L$2:$L$12,sov_bond!$F$2:$F$12))^(1/2)-1)*2)*365/360)</f>
        <v>#NAME?</v>
      </c>
      <c r="O2" s="245" t="e">
        <f ca="1">IF(E2="USD",Interp(M2,icap!$C$2:$C$11,icap!$F$2:$F$11),IF(E2="EUR",Interp(M2,icap!$C$2:$C$11,icap!$G$2:$G$11)))</f>
        <v>#NAME?</v>
      </c>
      <c r="P2" s="245" t="e">
        <f t="shared" ref="P2:P9" ca="1" si="1">IF((N2-O2)&lt;0,0,N2-O2)</f>
        <v>#NAME?</v>
      </c>
      <c r="Q2" s="246" t="e">
        <f t="shared" ref="Q2:Q9" ca="1" si="2">PRICE($A$2,C2,D2,P2,100,F2)</f>
        <v>#NAME?</v>
      </c>
      <c r="R2" s="245" t="e">
        <f t="shared" ref="R2:R9" ca="1" si="3">D2+O2</f>
        <v>#NAME?</v>
      </c>
      <c r="U2" s="254"/>
    </row>
    <row r="3" spans="1:22">
      <c r="A3" s="244"/>
      <c r="B3" s="244" t="s">
        <v>242</v>
      </c>
      <c r="C3" s="244" t="str">
        <f ca="1">OFFSET(bond_calc!$A$1,MATCH(bond_swaps!$B3,bond_calc!$A:$A,0)-1,1)</f>
        <v>25/08/2027</v>
      </c>
      <c r="D3" s="240">
        <f ca="1">OFFSET(bond_calc!$A$1,MATCH(bond_swaps!$B3,bond_calc!$A:$A,0)-1,2)</f>
        <v>4.1250000000000002E-2</v>
      </c>
      <c r="E3" s="244" t="str">
        <f ca="1">OFFSET(bond_calc!$A$1,MATCH(bond_swaps!$B3,bond_calc!$A:$A,0)-1,3)</f>
        <v>USD</v>
      </c>
      <c r="F3" s="116">
        <v>2</v>
      </c>
      <c r="G3" s="189">
        <f ca="1">OFFSET(bond_calc!$A$1,MATCH(bond_swaps!$B3,bond_calc!$A:$A,0)-1,4)</f>
        <v>2.6459999999999997E-2</v>
      </c>
      <c r="H3" s="189">
        <f ca="1">OFFSET(bond_calc!$A$1,MATCH(bond_swaps!$B3,bond_calc!$A:$A,0)-1,5)</f>
        <v>2.6019999999999998E-2</v>
      </c>
      <c r="I3" s="189">
        <f ca="1">OFFSET(bond_calc!$A$1,MATCH(bond_swaps!$B3,bond_calc!$A:$A,0)-1,6)</f>
        <v>2.6239999999999999E-2</v>
      </c>
      <c r="J3" s="176">
        <f ca="1">OFFSET(bond_calc!$A$1,MATCH(bond_swaps!$B3,bond_calc!$A:$A,0)-1,7)</f>
        <v>110.819</v>
      </c>
      <c r="K3" s="176">
        <f ca="1">OFFSET(bond_calc!$A$1,MATCH(bond_swaps!$B3,bond_calc!$A:$A,0)-1,8)</f>
        <v>111.166</v>
      </c>
      <c r="L3" s="176">
        <f ca="1">OFFSET(bond_calc!$A$1,MATCH(bond_swaps!$B3,bond_calc!$A:$A,0)-1,9)</f>
        <v>110.99299999999999</v>
      </c>
      <c r="M3" s="237">
        <f t="shared" ca="1" si="0"/>
        <v>7.7424657534246579</v>
      </c>
      <c r="N3" s="239" t="e">
        <f ca="1">((((1+Interp(M3,sov_bond!$L$2:$L$12,sov_bond!$F$2:$F$12))^(1/2)-1)*2)*365/360)</f>
        <v>#NAME?</v>
      </c>
      <c r="O3" s="239" t="e">
        <f ca="1">IF(E3="USD",Interp(M3,icap!$C$2:$C$11,icap!$F$2:$F$11),IF(E3="EUR",Interp(M3,icap!$C$2:$C$11,icap!$G$2:$G$11)))</f>
        <v>#NAME?</v>
      </c>
      <c r="P3" s="239" t="e">
        <f t="shared" ca="1" si="1"/>
        <v>#NAME?</v>
      </c>
      <c r="Q3" s="176" t="e">
        <f t="shared" ca="1" si="2"/>
        <v>#NAME?</v>
      </c>
      <c r="R3" s="239" t="e">
        <f t="shared" ca="1" si="3"/>
        <v>#NAME?</v>
      </c>
      <c r="U3" s="254"/>
    </row>
    <row r="4" spans="1:22">
      <c r="A4" s="257"/>
      <c r="B4" s="257" t="s">
        <v>252</v>
      </c>
      <c r="C4" s="256" t="str">
        <f ca="1">OFFSET(bond_calc!$A$1,MATCH(bond_swaps!$B4,bond_calc!$A:$A,0)-1,1)</f>
        <v>21/11/2033</v>
      </c>
      <c r="D4" s="240">
        <f ca="1">OFFSET(bond_calc!$A$1,MATCH(bond_swaps!$B4,bond_calc!$A:$A,0)-1,2)</f>
        <v>8.7499999999999994E-2</v>
      </c>
      <c r="E4" s="257" t="str">
        <f ca="1">OFFSET(bond_calc!$A$1,MATCH(bond_swaps!$B4,bond_calc!$A:$A,0)-1,3)</f>
        <v>USD</v>
      </c>
      <c r="F4" s="116">
        <v>2</v>
      </c>
      <c r="G4" s="189">
        <f ca="1">OFFSET(bond_calc!$A$1,MATCH(bond_swaps!$B4,bond_calc!$A:$A,0)-1,4)</f>
        <v>3.4630000000000001E-2</v>
      </c>
      <c r="H4" s="189">
        <f ca="1">OFFSET(bond_calc!$A$1,MATCH(bond_swaps!$B4,bond_calc!$A:$A,0)-1,5)</f>
        <v>3.4290000000000001E-2</v>
      </c>
      <c r="I4" s="189">
        <f ca="1">OFFSET(bond_calc!$A$1,MATCH(bond_swaps!$B4,bond_calc!$A:$A,0)-1,6)</f>
        <v>3.4460000000000005E-2</v>
      </c>
      <c r="J4" s="176">
        <f ca="1">OFFSET(bond_calc!$A$1,MATCH(bond_swaps!$B4,bond_calc!$A:$A,0)-1,7)</f>
        <v>159.63300000000001</v>
      </c>
      <c r="K4" s="176">
        <f ca="1">OFFSET(bond_calc!$A$1,MATCH(bond_swaps!$B4,bond_calc!$A:$A,0)-1,8)</f>
        <v>160.15700000000001</v>
      </c>
      <c r="L4" s="176">
        <f ca="1">OFFSET(bond_calc!$A$1,MATCH(bond_swaps!$B4,bond_calc!$A:$A,0)-1,9)</f>
        <v>159.89500000000001</v>
      </c>
      <c r="M4" s="237">
        <f t="shared" ca="1" si="0"/>
        <v>13.989041095890411</v>
      </c>
      <c r="N4" s="239" t="e">
        <f ca="1">((((1+Interp(M4,sov_bond!$L$2:$L$12,sov_bond!$F$2:$F$12))^(1/2)-1)*2)*365/360)</f>
        <v>#NAME?</v>
      </c>
      <c r="O4" s="239" t="e">
        <f ca="1">IF(E4="USD",Interp(M4,icap!$C$2:$C$11,icap!$F$2:$F$11),IF(E4="EUR",Interp(M4,icap!$C$2:$C$11,icap!$G$2:$G$11)))</f>
        <v>#NAME?</v>
      </c>
      <c r="P4" s="239" t="e">
        <f t="shared" ca="1" si="1"/>
        <v>#NAME?</v>
      </c>
      <c r="Q4" s="176" t="e">
        <f t="shared" ca="1" si="2"/>
        <v>#NAME?</v>
      </c>
      <c r="R4" s="239" t="e">
        <f t="shared" ca="1" si="3"/>
        <v>#NAME?</v>
      </c>
      <c r="S4" s="257"/>
      <c r="T4" s="257"/>
      <c r="U4" s="257"/>
      <c r="V4" s="257"/>
    </row>
    <row r="5" spans="1:22">
      <c r="A5" s="244"/>
      <c r="B5" s="244" t="s">
        <v>258</v>
      </c>
      <c r="C5" s="244" t="str">
        <f ca="1">OFFSET(bond_calc!$A$1,MATCH(bond_swaps!$B5,bond_calc!$A:$A,0)-1,1)</f>
        <v>14/03/2037</v>
      </c>
      <c r="D5" s="240">
        <f ca="1">OFFSET(bond_calc!$A$1,MATCH(bond_swaps!$B5,bond_calc!$A:$A,0)-1,2)</f>
        <v>6.5500000000000003E-2</v>
      </c>
      <c r="E5" s="244" t="str">
        <f ca="1">OFFSET(bond_calc!$A$1,MATCH(bond_swaps!$B5,bond_calc!$A:$A,0)-1,3)</f>
        <v>USD</v>
      </c>
      <c r="F5" s="116">
        <v>2</v>
      </c>
      <c r="G5" s="189">
        <f ca="1">OFFSET(bond_calc!$A$1,MATCH(bond_swaps!$B5,bond_calc!$A:$A,0)-1,4)</f>
        <v>3.5439999999999999E-2</v>
      </c>
      <c r="H5" s="189">
        <f ca="1">OFFSET(bond_calc!$A$1,MATCH(bond_swaps!$B5,bond_calc!$A:$A,0)-1,5)</f>
        <v>3.5119999999999998E-2</v>
      </c>
      <c r="I5" s="189">
        <f ca="1">OFFSET(bond_calc!$A$1,MATCH(bond_swaps!$B5,bond_calc!$A:$A,0)-1,6)</f>
        <v>3.5279999999999999E-2</v>
      </c>
      <c r="J5" s="176">
        <f ca="1">OFFSET(bond_calc!$A$1,MATCH(bond_swaps!$B5,bond_calc!$A:$A,0)-1,7)</f>
        <v>139.33500000000001</v>
      </c>
      <c r="K5" s="176">
        <f ca="1">OFFSET(bond_calc!$A$1,MATCH(bond_swaps!$B5,bond_calc!$A:$A,0)-1,8)</f>
        <v>139.86000000000001</v>
      </c>
      <c r="L5" s="176">
        <f ca="1">OFFSET(bond_calc!$A$1,MATCH(bond_swaps!$B5,bond_calc!$A:$A,0)-1,9)</f>
        <v>139.59800000000001</v>
      </c>
      <c r="M5" s="237">
        <f t="shared" ca="1" si="0"/>
        <v>17.301369863013697</v>
      </c>
      <c r="N5" s="239" t="e">
        <f ca="1">((((1+Interp(M5,sov_bond!$L$2:$L$12,sov_bond!$F$2:$F$12))^(1/2)-1)*2)*365/360)</f>
        <v>#NAME?</v>
      </c>
      <c r="O5" s="239" t="e">
        <f ca="1">IF(E5="USD",Interp(M5,icap!$C$2:$C$11,icap!$F$2:$F$11),IF(E5="EUR",Interp(M5,icap!$C$2:$C$11,icap!$G$2:$G$11)))</f>
        <v>#NAME?</v>
      </c>
      <c r="P5" s="239" t="e">
        <f t="shared" ca="1" si="1"/>
        <v>#NAME?</v>
      </c>
      <c r="Q5" s="176" t="e">
        <f t="shared" ca="1" si="2"/>
        <v>#NAME?</v>
      </c>
      <c r="R5" s="239" t="e">
        <f t="shared" ca="1" si="3"/>
        <v>#NAME?</v>
      </c>
      <c r="U5" s="254"/>
    </row>
    <row r="6" spans="1:22">
      <c r="A6" s="244"/>
      <c r="B6" s="244" t="s">
        <v>263</v>
      </c>
      <c r="C6" s="244" t="str">
        <f ca="1">OFFSET(bond_calc!$A$1,MATCH(bond_swaps!$B6,bond_calc!$A:$A,0)-1,1)</f>
        <v>18/11/2050</v>
      </c>
      <c r="D6" s="240">
        <f ca="1">OFFSET(bond_calc!$A$1,MATCH(bond_swaps!$B6,bond_calc!$A:$A,0)-1,2)</f>
        <v>5.6250000000000001E-2</v>
      </c>
      <c r="E6" s="244" t="str">
        <f ca="1">OFFSET(bond_calc!$A$1,MATCH(bond_swaps!$B6,bond_calc!$A:$A,0)-1,3)</f>
        <v>USD</v>
      </c>
      <c r="F6" s="116">
        <v>2</v>
      </c>
      <c r="G6" s="189">
        <f ca="1">OFFSET(bond_calc!$A$1,MATCH(bond_swaps!$B6,bond_calc!$A:$A,0)-1,4)</f>
        <v>3.7290000000000004E-2</v>
      </c>
      <c r="H6" s="189">
        <f ca="1">OFFSET(bond_calc!$A$1,MATCH(bond_swaps!$B6,bond_calc!$A:$A,0)-1,5)</f>
        <v>3.7039999999999997E-2</v>
      </c>
      <c r="I6" s="189">
        <f ca="1">OFFSET(bond_calc!$A$1,MATCH(bond_swaps!$B6,bond_calc!$A:$A,0)-1,6)</f>
        <v>3.7170000000000002E-2</v>
      </c>
      <c r="J6" s="176">
        <f ca="1">OFFSET(bond_calc!$A$1,MATCH(bond_swaps!$B6,bond_calc!$A:$A,0)-1,7)</f>
        <v>134.923</v>
      </c>
      <c r="K6" s="176">
        <f ca="1">OFFSET(bond_calc!$A$1,MATCH(bond_swaps!$B6,bond_calc!$A:$A,0)-1,8)</f>
        <v>135.47800000000001</v>
      </c>
      <c r="L6" s="176">
        <f ca="1">OFFSET(bond_calc!$A$1,MATCH(bond_swaps!$B6,bond_calc!$A:$A,0)-1,9)</f>
        <v>135.20099999999999</v>
      </c>
      <c r="M6" s="237">
        <f t="shared" ca="1" si="0"/>
        <v>30.991780821917807</v>
      </c>
      <c r="N6" s="239" t="e">
        <f ca="1">((((1+Interp(M6,sov_bond!$L$2:$L$12,sov_bond!$F$2:$F$12))^(1/2)-1)*2)*365/360)</f>
        <v>#NAME?</v>
      </c>
      <c r="O6" s="239" t="e">
        <f ca="1">IF(E6="USD",Interp(M6,icap!$C$2:$C$11,icap!$F$2:$F$11),IF(E6="EUR",Interp(M6,icap!$C$2:$C$11,icap!$G$2:$G$11)))</f>
        <v>#NAME?</v>
      </c>
      <c r="P6" s="239" t="e">
        <f t="shared" ca="1" si="1"/>
        <v>#NAME?</v>
      </c>
      <c r="Q6" s="176" t="e">
        <f t="shared" ca="1" si="2"/>
        <v>#NAME?</v>
      </c>
      <c r="R6" s="239" t="e">
        <f t="shared" ca="1" si="3"/>
        <v>#NAME?</v>
      </c>
      <c r="U6" s="254"/>
    </row>
    <row r="7" spans="1:22">
      <c r="A7" s="244"/>
      <c r="B7" s="244" t="s">
        <v>233</v>
      </c>
      <c r="C7" s="244" t="str">
        <f ca="1">OFFSET(bond_calc!$A$1,MATCH(bond_swaps!$B7,bond_calc!$A:$A,0)-1,1)</f>
        <v>30/01/2026</v>
      </c>
      <c r="D7" s="240">
        <f ca="1">OFFSET(bond_calc!$A$1,MATCH(bond_swaps!$B7,bond_calc!$A:$A,0)-1,2)</f>
        <v>2.75E-2</v>
      </c>
      <c r="E7" s="233" t="str">
        <f ca="1">OFFSET(bond_calc!$A$1,MATCH(bond_swaps!$B7,bond_calc!$A:$A,0)-1,3)</f>
        <v>EUR</v>
      </c>
      <c r="F7" s="116">
        <v>1</v>
      </c>
      <c r="G7" s="189">
        <f ca="1">OFFSET(bond_calc!$A$1,MATCH(bond_swaps!$B7,bond_calc!$A:$A,0)-1,4)</f>
        <v>6.9799999999999992E-3</v>
      </c>
      <c r="H7" s="189">
        <f ca="1">OFFSET(bond_calc!$A$1,MATCH(bond_swaps!$B7,bond_calc!$A:$A,0)-1,5)</f>
        <v>6.3899999999999998E-3</v>
      </c>
      <c r="I7" s="189">
        <f ca="1">OFFSET(bond_calc!$A$1,MATCH(bond_swaps!$B7,bond_calc!$A:$A,0)-1,6)</f>
        <v>6.6800000000000002E-3</v>
      </c>
      <c r="J7" s="176">
        <f ca="1">OFFSET(bond_calc!$A$1,MATCH(bond_swaps!$B7,bond_calc!$A:$A,0)-1,7)</f>
        <v>113.23</v>
      </c>
      <c r="K7" s="176">
        <f ca="1">OFFSET(bond_calc!$A$1,MATCH(bond_swaps!$B7,bond_calc!$A:$A,0)-1,8)</f>
        <v>113.646</v>
      </c>
      <c r="L7" s="176">
        <f ca="1">OFFSET(bond_calc!$A$1,MATCH(bond_swaps!$B7,bond_calc!$A:$A,0)-1,9)</f>
        <v>113.438</v>
      </c>
      <c r="M7" s="237">
        <f t="shared" ca="1" si="0"/>
        <v>6.1753424657534248</v>
      </c>
      <c r="N7" s="239" t="e">
        <f ca="1">((((1+Interp(M7,sov_bond!$L$2:$L$12,sov_bond!$F$2:$F$12))^(1/2)-1)*2)*365/360)</f>
        <v>#NAME?</v>
      </c>
      <c r="O7" s="239" t="e">
        <f ca="1">IF(E7="USD",Interp(M7,icap!$C$2:$C$11,icap!$F$2:$F$11),IF(E7="EUR",Interp(M7,icap!$C$2:$C$11,icap!$G$2:$G$11)))</f>
        <v>#NAME?</v>
      </c>
      <c r="P7" s="239" t="e">
        <f t="shared" ca="1" si="1"/>
        <v>#NAME?</v>
      </c>
      <c r="Q7" s="176" t="e">
        <f t="shared" ca="1" si="2"/>
        <v>#NAME?</v>
      </c>
      <c r="R7" s="239" t="e">
        <f t="shared" ca="1" si="3"/>
        <v>#NAME?</v>
      </c>
      <c r="U7" s="254"/>
    </row>
    <row r="8" spans="1:22">
      <c r="A8" s="244"/>
      <c r="B8" s="244" t="s">
        <v>247</v>
      </c>
      <c r="C8" s="244" t="str">
        <f ca="1">OFFSET(bond_calc!$A$1,MATCH(bond_swaps!$B8,bond_calc!$A:$A,0)-1,1)</f>
        <v>01/03/2030</v>
      </c>
      <c r="D8" s="240">
        <f ca="1">OFFSET(bond_calc!$A$1,MATCH(bond_swaps!$B8,bond_calc!$A:$A,0)-1,2)</f>
        <v>3.7499999999999999E-2</v>
      </c>
      <c r="E8" s="233" t="str">
        <f ca="1">OFFSET(bond_calc!$A$1,MATCH(bond_swaps!$B8,bond_calc!$A:$A,0)-1,3)</f>
        <v>EUR</v>
      </c>
      <c r="F8" s="116">
        <v>1</v>
      </c>
      <c r="G8" s="189">
        <f ca="1">OFFSET(bond_calc!$A$1,MATCH(bond_swaps!$B8,bond_calc!$A:$A,0)-1,4)</f>
        <v>1.2699999999999999E-2</v>
      </c>
      <c r="H8" s="189">
        <f ca="1">OFFSET(bond_calc!$A$1,MATCH(bond_swaps!$B8,bond_calc!$A:$A,0)-1,5)</f>
        <v>1.209E-2</v>
      </c>
      <c r="I8" s="189">
        <f ca="1">OFFSET(bond_calc!$A$1,MATCH(bond_swaps!$B8,bond_calc!$A:$A,0)-1,6)</f>
        <v>1.24E-2</v>
      </c>
      <c r="J8" s="176">
        <f ca="1">OFFSET(bond_calc!$A$1,MATCH(bond_swaps!$B8,bond_calc!$A:$A,0)-1,7)</f>
        <v>124.66500000000001</v>
      </c>
      <c r="K8" s="176">
        <f ca="1">OFFSET(bond_calc!$A$1,MATCH(bond_swaps!$B8,bond_calc!$A:$A,0)-1,8)</f>
        <v>125.36</v>
      </c>
      <c r="L8" s="176">
        <f ca="1">OFFSET(bond_calc!$A$1,MATCH(bond_swaps!$B8,bond_calc!$A:$A,0)-1,9)</f>
        <v>125.01300000000001</v>
      </c>
      <c r="M8" s="237">
        <f t="shared" ca="1" si="0"/>
        <v>10.260273972602739</v>
      </c>
      <c r="N8" s="239" t="e">
        <f ca="1">((((1+Interp(M8,sov_bond!$L$2:$L$12,sov_bond!$F$2:$F$12))^(1/2)-1)*2)*365/360)</f>
        <v>#NAME?</v>
      </c>
      <c r="O8" s="239" t="e">
        <f ca="1">IF(E8="USD",Interp(M8,icap!$C$2:$C$11,icap!$F$2:$F$11),IF(E8="EUR",Interp(M8,icap!$C$2:$C$11,icap!$G$2:$G$11)))</f>
        <v>#NAME?</v>
      </c>
      <c r="P8" s="239" t="e">
        <f t="shared" ca="1" si="1"/>
        <v>#NAME?</v>
      </c>
      <c r="Q8" s="176" t="e">
        <f t="shared" ca="1" si="2"/>
        <v>#NAME?</v>
      </c>
      <c r="R8" s="239" t="e">
        <f t="shared" ca="1" si="3"/>
        <v>#NAME?</v>
      </c>
      <c r="S8" s="245" t="e">
        <f ca="1">+(((1+_xll.Interp(M8,bond_interp!$S$4:$S$8,bond_interp!$P$4:$P$8))^(1/2)-1)*2)*365/360</f>
        <v>#NAME?</v>
      </c>
      <c r="T8" s="245" t="e">
        <f ca="1">+_xll.Interp(M8,curvas_EUR!$L$2:$L$19,curvas_EUR!$K$2:$K$19)</f>
        <v>#NAME?</v>
      </c>
      <c r="U8" s="245" t="e">
        <f t="shared" ref="U8:U9" ca="1" si="4">+S8+T8</f>
        <v>#NAME?</v>
      </c>
      <c r="V8" s="254" t="e">
        <f ca="1">+PRICE($A$2,C8,D8,U8,100,F8)</f>
        <v>#NAME?</v>
      </c>
    </row>
    <row r="9" spans="1:22">
      <c r="A9" s="244"/>
      <c r="B9" s="244" t="s">
        <v>650</v>
      </c>
      <c r="C9" s="279">
        <f ca="1">OFFSET(bond_calc!$A$1,MATCH(bond_swaps!$B9,bond_calc!$A:$A,0)-1,1)</f>
        <v>47654</v>
      </c>
      <c r="D9" s="240">
        <f ca="1">OFFSET(bond_calc!$A$1,MATCH(bond_swaps!$B9,bond_calc!$A:$A,0)-1,2)</f>
        <v>2.844E-2</v>
      </c>
      <c r="E9" s="233" t="str">
        <f ca="1">OFFSET(bond_calc!$A$1,MATCH(bond_swaps!$B9,bond_calc!$A:$A,0)-1,3)</f>
        <v>USD</v>
      </c>
      <c r="F9" s="116">
        <v>2</v>
      </c>
      <c r="G9" s="189">
        <f ca="1">OFFSET(bond_calc!$A$1,MATCH(bond_swaps!$B9,bond_calc!$A:$A,0)-1,4)</f>
        <v>2.844E-2</v>
      </c>
      <c r="H9" s="189">
        <f ca="1">OFFSET(bond_calc!$A$1,MATCH(bond_swaps!$B9,bond_calc!$A:$A,0)-1,5)</f>
        <v>2.844E-2</v>
      </c>
      <c r="I9" s="189">
        <f ca="1">OFFSET(bond_calc!$A$1,MATCH(bond_swaps!$B9,bond_calc!$A:$A,0)-1,6)</f>
        <v>2.844E-2</v>
      </c>
      <c r="J9" s="176">
        <f ca="1">OFFSET(bond_calc!$A$1,MATCH(bond_swaps!$B9,bond_calc!$A:$A,0)-1,7)</f>
        <v>100</v>
      </c>
      <c r="K9" s="176">
        <f ca="1">OFFSET(bond_calc!$A$1,MATCH(bond_swaps!$B9,bond_calc!$A:$A,0)-1,8)</f>
        <v>100</v>
      </c>
      <c r="L9" s="176">
        <f ca="1">OFFSET(bond_calc!$A$1,MATCH(bond_swaps!$B9,bond_calc!$A:$A,0)-1,9)</f>
        <v>100</v>
      </c>
      <c r="M9" s="237">
        <f t="shared" ca="1" si="0"/>
        <v>10.564383561643835</v>
      </c>
      <c r="N9" s="239" t="e">
        <f ca="1">((((1+Interp(M9,sov_bond!$L$2:$L$12,sov_bond!$F$2:$F$12))^(1/2)-1)*2)*365/360)</f>
        <v>#NAME?</v>
      </c>
      <c r="O9" s="239" t="e">
        <f ca="1">IF(E9="USD",Interp(M9,icap!$C$2:$C$11,icap!$F$2:$F$11),IF(E9="EUR",Interp(M9,icap!$C$2:$C$11,icap!$G$2:$G$11)))</f>
        <v>#NAME?</v>
      </c>
      <c r="P9" s="239" t="e">
        <f t="shared" ca="1" si="1"/>
        <v>#NAME?</v>
      </c>
      <c r="Q9" s="176" t="e">
        <f t="shared" ca="1" si="2"/>
        <v>#NAME?</v>
      </c>
      <c r="R9" s="239" t="e">
        <f t="shared" ca="1" si="3"/>
        <v>#NAME?</v>
      </c>
      <c r="S9" s="245" t="e">
        <f ca="1">+(((1+_xll.Interp(M9,bond_interp!$S$4:$S$8,bond_interp!$P$4:$P$8))^(1/2)-1)*2)*365/360</f>
        <v>#NAME?</v>
      </c>
      <c r="T9" s="245" t="e">
        <f ca="1">+_xll.Interp(M9,curvas_EUR!$L$2:$L$19,curvas_EUR!$K$2:$K$19)</f>
        <v>#NAME?</v>
      </c>
      <c r="U9" s="245" t="e">
        <f t="shared" ca="1" si="4"/>
        <v>#NAME?</v>
      </c>
      <c r="V9" s="254" t="e">
        <f ca="1">+PRICE($A$2,C9,D9,U9,100,F9)</f>
        <v>#NAME?</v>
      </c>
    </row>
    <row r="10" spans="1:22">
      <c r="A10" s="244"/>
      <c r="C10" s="244"/>
      <c r="D10" s="1"/>
      <c r="E10" s="241"/>
      <c r="F10" s="1"/>
      <c r="G10" s="241"/>
      <c r="H10" s="1"/>
      <c r="I10" s="244"/>
      <c r="J10" s="244"/>
      <c r="K10" s="244"/>
      <c r="L10" s="244"/>
      <c r="M10" s="244"/>
    </row>
    <row r="11" spans="1:22">
      <c r="A11" s="244"/>
      <c r="C11" s="244"/>
      <c r="I11" s="243"/>
      <c r="J11" s="244"/>
      <c r="K11" s="159"/>
      <c r="L11" s="244"/>
      <c r="M11" s="240"/>
      <c r="N11" s="240"/>
    </row>
    <row r="12" spans="1:22">
      <c r="A12" s="244"/>
      <c r="C12" s="244"/>
      <c r="K12" s="159"/>
      <c r="M12" s="240"/>
      <c r="N12" s="240"/>
    </row>
    <row r="13" spans="1:22">
      <c r="A13" s="244"/>
      <c r="C13" s="244"/>
      <c r="K13" s="159"/>
      <c r="M13" s="240"/>
      <c r="N13" s="240"/>
    </row>
    <row r="14" spans="1:22">
      <c r="K14" s="159"/>
      <c r="M14" s="240"/>
      <c r="N14" s="240"/>
    </row>
    <row r="15" spans="1:22">
      <c r="H15" s="24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3">
    <tabColor theme="1"/>
  </sheetPr>
  <dimension ref="A1:FW187"/>
  <sheetViews>
    <sheetView workbookViewId="0">
      <selection activeCell="E10" sqref="E10"/>
    </sheetView>
  </sheetViews>
  <sheetFormatPr defaultColWidth="11.4609375" defaultRowHeight="14.6"/>
  <cols>
    <col min="1" max="1" width="11.15234375" style="153" bestFit="1" customWidth="1"/>
    <col min="2" max="2" width="10.61328125" style="85" bestFit="1" customWidth="1"/>
    <col min="3" max="3" width="11.4609375" style="85"/>
    <col min="4" max="4" width="18.84375" style="85" bestFit="1" customWidth="1"/>
    <col min="5" max="9" width="11.4609375" style="85"/>
    <col min="10" max="10" width="11.84375" style="85" bestFit="1" customWidth="1"/>
    <col min="11" max="11" width="11.4609375" style="85"/>
    <col min="12" max="12" width="11.84375" style="85" bestFit="1" customWidth="1"/>
    <col min="13" max="14" width="11.4609375" style="85"/>
    <col min="15" max="15" width="18.84375" style="85" bestFit="1" customWidth="1"/>
    <col min="16" max="20" width="11.4609375" style="85"/>
    <col min="21" max="21" width="11.84375" style="85" bestFit="1" customWidth="1"/>
    <col min="22" max="22" width="11.4609375" style="85"/>
    <col min="23" max="23" width="18.84375" style="85" bestFit="1" customWidth="1"/>
    <col min="24" max="28" width="11.4609375" style="85"/>
    <col min="29" max="29" width="11.84375" style="85" bestFit="1" customWidth="1"/>
    <col min="30" max="30" width="11.4609375" style="85"/>
    <col min="31" max="31" width="18.84375" style="85" bestFit="1" customWidth="1"/>
    <col min="32" max="36" width="11.4609375" style="85"/>
    <col min="37" max="37" width="11.84375" style="85" bestFit="1" customWidth="1"/>
    <col min="38" max="38" width="11.4609375" style="85"/>
    <col min="39" max="39" width="18.84375" style="85" bestFit="1" customWidth="1"/>
    <col min="40" max="44" width="11.4609375" style="85"/>
    <col min="45" max="45" width="11.84375" style="85" bestFit="1" customWidth="1"/>
    <col min="46" max="46" width="11.4609375" style="85"/>
    <col min="47" max="47" width="18.84375" style="85" bestFit="1" customWidth="1"/>
    <col min="48" max="52" width="11.4609375" style="85"/>
    <col min="53" max="53" width="11.84375" style="85" bestFit="1" customWidth="1"/>
    <col min="54" max="16384" width="11.4609375" style="85"/>
  </cols>
  <sheetData>
    <row r="1" spans="1:179">
      <c r="A1" s="112" t="s">
        <v>399</v>
      </c>
      <c r="B1" s="301">
        <f>intercambio!$B$4</f>
        <v>43792</v>
      </c>
      <c r="D1" s="85" t="s">
        <v>116</v>
      </c>
      <c r="O1" s="85" t="s">
        <v>116</v>
      </c>
      <c r="W1" s="85" t="s">
        <v>116</v>
      </c>
      <c r="AE1" s="85" t="s">
        <v>116</v>
      </c>
      <c r="AM1" s="85" t="s">
        <v>116</v>
      </c>
      <c r="AU1" s="85" t="s">
        <v>116</v>
      </c>
    </row>
    <row r="2" spans="1:179">
      <c r="A2" s="153" t="s">
        <v>397</v>
      </c>
      <c r="B2" s="154">
        <f>intercambio!$B$5</f>
        <v>5</v>
      </c>
      <c r="D2" s="85" t="s">
        <v>467</v>
      </c>
      <c r="O2" s="85" t="s">
        <v>467</v>
      </c>
      <c r="W2" s="85" t="s">
        <v>467</v>
      </c>
      <c r="AE2" s="85" t="s">
        <v>467</v>
      </c>
      <c r="AM2" s="85" t="s">
        <v>467</v>
      </c>
      <c r="AU2" s="85" t="s">
        <v>467</v>
      </c>
    </row>
    <row r="3" spans="1:179">
      <c r="A3" s="85" t="s">
        <v>398</v>
      </c>
      <c r="B3" s="300">
        <f>intercambio!$B$6</f>
        <v>43798</v>
      </c>
      <c r="E3" s="85" t="s">
        <v>327</v>
      </c>
      <c r="F3" s="85" t="s">
        <v>328</v>
      </c>
      <c r="G3" s="85" t="s">
        <v>329</v>
      </c>
      <c r="H3" s="85" t="s">
        <v>330</v>
      </c>
      <c r="I3" s="85" t="s">
        <v>331</v>
      </c>
      <c r="J3" s="85" t="s">
        <v>333</v>
      </c>
      <c r="L3" s="85" t="s">
        <v>127</v>
      </c>
      <c r="P3" s="85" t="s">
        <v>327</v>
      </c>
      <c r="Q3" s="85" t="s">
        <v>328</v>
      </c>
      <c r="R3" s="85" t="s">
        <v>329</v>
      </c>
      <c r="S3" s="85" t="s">
        <v>330</v>
      </c>
      <c r="T3" s="85" t="s">
        <v>331</v>
      </c>
      <c r="U3" s="85" t="s">
        <v>333</v>
      </c>
      <c r="X3" s="85" t="s">
        <v>327</v>
      </c>
      <c r="Y3" s="85" t="s">
        <v>328</v>
      </c>
      <c r="Z3" s="85" t="s">
        <v>329</v>
      </c>
      <c r="AA3" s="85" t="s">
        <v>330</v>
      </c>
      <c r="AB3" s="85" t="s">
        <v>331</v>
      </c>
      <c r="AC3" s="85" t="s">
        <v>333</v>
      </c>
      <c r="AF3" s="85" t="s">
        <v>327</v>
      </c>
      <c r="AG3" s="85" t="s">
        <v>328</v>
      </c>
      <c r="AH3" s="85" t="s">
        <v>329</v>
      </c>
      <c r="AI3" s="85" t="s">
        <v>330</v>
      </c>
      <c r="AJ3" s="85" t="s">
        <v>331</v>
      </c>
      <c r="AK3" s="85" t="s">
        <v>333</v>
      </c>
      <c r="AN3" s="85" t="s">
        <v>327</v>
      </c>
      <c r="AO3" s="85" t="s">
        <v>328</v>
      </c>
      <c r="AP3" s="85" t="s">
        <v>329</v>
      </c>
      <c r="AQ3" s="85" t="s">
        <v>330</v>
      </c>
      <c r="AR3" s="85" t="s">
        <v>331</v>
      </c>
      <c r="AS3" s="85" t="s">
        <v>333</v>
      </c>
      <c r="AV3" s="85" t="s">
        <v>327</v>
      </c>
      <c r="AW3" s="85" t="s">
        <v>328</v>
      </c>
      <c r="AX3" s="85" t="s">
        <v>329</v>
      </c>
      <c r="AY3" s="85" t="s">
        <v>330</v>
      </c>
      <c r="AZ3" s="85" t="s">
        <v>331</v>
      </c>
      <c r="BA3" s="85" t="s">
        <v>333</v>
      </c>
    </row>
    <row r="4" spans="1:179">
      <c r="A4" s="85" t="s">
        <v>654</v>
      </c>
      <c r="B4" s="283">
        <f>WORKDAY($B$1,-$B$5)</f>
        <v>43790</v>
      </c>
      <c r="D4" s="85" t="s">
        <v>427</v>
      </c>
      <c r="E4" s="85" t="s">
        <v>406</v>
      </c>
      <c r="F4" s="85" t="s">
        <v>408</v>
      </c>
      <c r="G4" s="85" t="s">
        <v>403</v>
      </c>
      <c r="H4" s="85" t="s">
        <v>407</v>
      </c>
      <c r="I4" s="85" t="s">
        <v>409</v>
      </c>
      <c r="J4" s="85" t="s">
        <v>404</v>
      </c>
      <c r="L4" s="85" t="s">
        <v>403</v>
      </c>
      <c r="M4" s="85" t="s">
        <v>404</v>
      </c>
      <c r="O4" s="85" t="s">
        <v>427</v>
      </c>
      <c r="P4" s="85" t="s">
        <v>406</v>
      </c>
      <c r="Q4" s="85" t="s">
        <v>408</v>
      </c>
      <c r="R4" s="85" t="s">
        <v>403</v>
      </c>
      <c r="S4" s="85" t="s">
        <v>407</v>
      </c>
      <c r="T4" s="85" t="s">
        <v>409</v>
      </c>
      <c r="U4" s="85" t="s">
        <v>404</v>
      </c>
      <c r="W4" s="85" t="s">
        <v>427</v>
      </c>
      <c r="X4" s="85" t="s">
        <v>406</v>
      </c>
      <c r="Y4" s="85" t="s">
        <v>408</v>
      </c>
      <c r="Z4" s="85" t="s">
        <v>403</v>
      </c>
      <c r="AA4" s="85" t="s">
        <v>407</v>
      </c>
      <c r="AB4" s="85" t="s">
        <v>409</v>
      </c>
      <c r="AC4" s="85" t="s">
        <v>404</v>
      </c>
      <c r="AE4" s="85" t="s">
        <v>427</v>
      </c>
      <c r="AF4" s="85" t="s">
        <v>406</v>
      </c>
      <c r="AG4" s="85" t="s">
        <v>408</v>
      </c>
      <c r="AH4" s="85" t="s">
        <v>403</v>
      </c>
      <c r="AI4" s="85" t="s">
        <v>407</v>
      </c>
      <c r="AJ4" s="85" t="s">
        <v>409</v>
      </c>
      <c r="AK4" s="85" t="s">
        <v>404</v>
      </c>
      <c r="AM4" s="85" t="s">
        <v>427</v>
      </c>
      <c r="AN4" s="85" t="s">
        <v>406</v>
      </c>
      <c r="AO4" s="85" t="s">
        <v>408</v>
      </c>
      <c r="AP4" s="85" t="s">
        <v>403</v>
      </c>
      <c r="AQ4" s="85" t="s">
        <v>407</v>
      </c>
      <c r="AR4" s="85" t="s">
        <v>409</v>
      </c>
      <c r="AS4" s="85" t="s">
        <v>404</v>
      </c>
      <c r="AU4" s="85" t="s">
        <v>427</v>
      </c>
      <c r="AV4" s="85" t="s">
        <v>406</v>
      </c>
      <c r="AW4" s="85" t="s">
        <v>408</v>
      </c>
      <c r="AX4" s="85" t="s">
        <v>403</v>
      </c>
      <c r="AY4" s="85" t="s">
        <v>407</v>
      </c>
      <c r="AZ4" s="85" t="s">
        <v>409</v>
      </c>
      <c r="BA4" s="85" t="s">
        <v>404</v>
      </c>
    </row>
    <row r="5" spans="1:179">
      <c r="A5" s="112" t="s">
        <v>655</v>
      </c>
      <c r="B5" s="112">
        <v>2</v>
      </c>
      <c r="D5" s="283">
        <v>43629</v>
      </c>
      <c r="E5" s="85">
        <v>105.896</v>
      </c>
      <c r="F5" s="85">
        <v>105.985</v>
      </c>
      <c r="G5" s="85">
        <v>105.941</v>
      </c>
      <c r="H5" s="85">
        <v>2.5840000000000001</v>
      </c>
      <c r="I5" s="85">
        <v>2.508</v>
      </c>
      <c r="J5" s="85">
        <v>2.5449999999999999</v>
      </c>
      <c r="K5" s="283"/>
      <c r="L5" s="85">
        <f ca="1">+OFFSET($A$1,MATCH($L3,$D$1:$D$157,0)+3,MATCH($L4,$D$4:$J$4,0)+2)</f>
        <v>107.506</v>
      </c>
      <c r="M5" s="85">
        <f ca="1">+OFFSET($A$1,MATCH($L3,$D$1:$D$157,0)+3,MATCH($J4,$D$4:$J$4,0)+2)</f>
        <v>4.9370000000000003</v>
      </c>
      <c r="O5" s="283">
        <v>43412</v>
      </c>
      <c r="P5" s="85">
        <v>108.914</v>
      </c>
      <c r="Q5" s="85">
        <v>108.91500000000001</v>
      </c>
      <c r="R5" s="85">
        <v>108.91500000000001</v>
      </c>
      <c r="S5" s="85">
        <v>2.5649999999999999</v>
      </c>
      <c r="T5" s="85">
        <v>2.5649999999999999</v>
      </c>
      <c r="U5" s="152">
        <v>2.5649999999999999</v>
      </c>
      <c r="V5" s="152"/>
      <c r="W5" s="283">
        <v>43433</v>
      </c>
      <c r="X5" s="85">
        <v>108.111</v>
      </c>
      <c r="Y5" s="85">
        <v>108.173</v>
      </c>
      <c r="Z5" s="85">
        <v>108.142</v>
      </c>
      <c r="AA5" s="85">
        <v>2.8650000000000002</v>
      </c>
      <c r="AB5" s="85">
        <v>2.8289999999999997</v>
      </c>
      <c r="AC5" s="85">
        <v>2.847</v>
      </c>
      <c r="AE5" s="283">
        <v>43620</v>
      </c>
      <c r="AF5" s="85">
        <v>105.895</v>
      </c>
      <c r="AG5" s="85">
        <v>105.965</v>
      </c>
      <c r="AH5" s="85">
        <v>105.93</v>
      </c>
      <c r="AI5" s="85">
        <v>2.7109999999999999</v>
      </c>
      <c r="AJ5" s="85">
        <v>2.653</v>
      </c>
      <c r="AK5" s="85">
        <v>2.6819999999999999</v>
      </c>
      <c r="AM5" s="283">
        <v>43626</v>
      </c>
      <c r="AN5" s="85">
        <v>105.83499999999999</v>
      </c>
      <c r="AO5" s="85">
        <v>105.953</v>
      </c>
      <c r="AP5" s="85">
        <v>105.89400000000001</v>
      </c>
      <c r="AQ5" s="85">
        <v>2.6930000000000001</v>
      </c>
      <c r="AR5" s="85">
        <v>2.5939999999999999</v>
      </c>
      <c r="AS5" s="85">
        <v>2.6440000000000001</v>
      </c>
      <c r="AT5" s="283"/>
      <c r="AU5" s="283">
        <v>43629</v>
      </c>
      <c r="AV5" s="85">
        <v>105.896</v>
      </c>
      <c r="AW5" s="85">
        <v>105.985</v>
      </c>
      <c r="AX5" s="85">
        <v>105.941</v>
      </c>
      <c r="AY5" s="85">
        <v>2.5840000000000001</v>
      </c>
      <c r="AZ5" s="85">
        <v>2.508</v>
      </c>
      <c r="BA5" s="85">
        <v>2.5449999999999999</v>
      </c>
      <c r="BF5" s="152"/>
      <c r="BH5" s="283"/>
      <c r="BL5" s="152"/>
      <c r="BO5" s="283"/>
      <c r="BR5" s="152"/>
      <c r="BV5" s="283"/>
      <c r="BX5" s="152"/>
      <c r="CC5" s="283"/>
      <c r="CD5" s="152"/>
      <c r="CJ5" s="283"/>
      <c r="CP5" s="152"/>
      <c r="CQ5" s="283"/>
      <c r="CV5" s="152"/>
      <c r="CX5" s="283"/>
      <c r="DE5" s="283"/>
      <c r="DH5" s="152"/>
      <c r="DL5" s="283"/>
      <c r="DN5" s="152"/>
      <c r="DS5" s="283"/>
      <c r="DT5" s="152"/>
      <c r="DZ5" s="283"/>
      <c r="EF5" s="152"/>
      <c r="EG5" s="283"/>
      <c r="EL5" s="152"/>
      <c r="EN5" s="283"/>
      <c r="EU5" s="283"/>
      <c r="EX5" s="152"/>
      <c r="FB5" s="283"/>
      <c r="FI5" s="283"/>
      <c r="FP5" s="283"/>
      <c r="FW5" s="283"/>
    </row>
    <row r="6" spans="1:179">
      <c r="A6" s="85"/>
      <c r="D6" s="283">
        <v>43628</v>
      </c>
      <c r="E6" s="85">
        <v>105.905</v>
      </c>
      <c r="F6" s="85">
        <v>106</v>
      </c>
      <c r="G6" s="85">
        <v>105.953</v>
      </c>
      <c r="H6" s="85">
        <v>2.5880000000000001</v>
      </c>
      <c r="I6" s="85">
        <v>2.508</v>
      </c>
      <c r="J6" s="85">
        <v>2.5470000000000002</v>
      </c>
      <c r="K6" s="283"/>
      <c r="O6" s="283">
        <v>43411</v>
      </c>
      <c r="P6" s="85">
        <v>108.961</v>
      </c>
      <c r="Q6" s="85">
        <v>108.992</v>
      </c>
      <c r="R6" s="85">
        <v>108.977</v>
      </c>
      <c r="S6" s="85">
        <v>2.5470000000000002</v>
      </c>
      <c r="T6" s="85">
        <v>2.5300000000000002</v>
      </c>
      <c r="U6" s="152">
        <v>2.5380000000000003</v>
      </c>
      <c r="V6" s="152"/>
      <c r="W6" s="283">
        <v>43432</v>
      </c>
      <c r="X6" s="85">
        <v>108.056</v>
      </c>
      <c r="Y6" s="85">
        <v>108.101</v>
      </c>
      <c r="Z6" s="85">
        <v>108.078</v>
      </c>
      <c r="AA6" s="85">
        <v>2.9039999999999999</v>
      </c>
      <c r="AB6" s="85">
        <v>2.8780000000000001</v>
      </c>
      <c r="AC6" s="85">
        <v>2.891</v>
      </c>
      <c r="AE6" s="283">
        <v>43619</v>
      </c>
      <c r="AF6" s="85">
        <v>105.884</v>
      </c>
      <c r="AG6" s="85">
        <v>105.974</v>
      </c>
      <c r="AH6" s="85">
        <v>105.929</v>
      </c>
      <c r="AI6" s="85">
        <v>2.7320000000000002</v>
      </c>
      <c r="AJ6" s="85">
        <v>2.657</v>
      </c>
      <c r="AK6" s="85">
        <v>2.694</v>
      </c>
      <c r="AM6" s="283">
        <v>43623</v>
      </c>
      <c r="AN6" s="85">
        <v>105.858</v>
      </c>
      <c r="AO6" s="85">
        <v>105.944</v>
      </c>
      <c r="AP6" s="85">
        <v>105.901</v>
      </c>
      <c r="AQ6" s="85">
        <v>2.6850000000000001</v>
      </c>
      <c r="AR6" s="85">
        <v>2.613</v>
      </c>
      <c r="AS6" s="85">
        <v>2.649</v>
      </c>
      <c r="AT6" s="283"/>
      <c r="AU6" s="283">
        <v>43628</v>
      </c>
      <c r="AV6" s="85">
        <v>105.905</v>
      </c>
      <c r="AW6" s="85">
        <v>106</v>
      </c>
      <c r="AX6" s="85">
        <v>105.953</v>
      </c>
      <c r="AY6" s="85">
        <v>2.5880000000000001</v>
      </c>
      <c r="AZ6" s="85">
        <v>2.508</v>
      </c>
      <c r="BA6" s="85">
        <v>2.5470000000000002</v>
      </c>
      <c r="BF6" s="152"/>
      <c r="BH6" s="283"/>
      <c r="BL6" s="152"/>
      <c r="BO6" s="283"/>
      <c r="BR6" s="152"/>
      <c r="BV6" s="283"/>
      <c r="BX6" s="152"/>
      <c r="CC6" s="283"/>
      <c r="CD6" s="152"/>
      <c r="CJ6" s="283"/>
      <c r="CP6" s="152"/>
      <c r="CQ6" s="283"/>
      <c r="CV6" s="152"/>
      <c r="CX6" s="283"/>
      <c r="DE6" s="283"/>
      <c r="DH6" s="152"/>
      <c r="DL6" s="283"/>
      <c r="DN6" s="152"/>
      <c r="DS6" s="283"/>
      <c r="DT6" s="152"/>
      <c r="DZ6" s="283"/>
      <c r="EF6" s="152"/>
      <c r="EG6" s="283"/>
      <c r="EL6" s="152"/>
      <c r="EN6" s="283"/>
      <c r="EU6" s="283"/>
      <c r="EX6" s="152"/>
      <c r="FB6" s="283"/>
      <c r="FI6" s="283"/>
      <c r="FP6" s="283"/>
      <c r="FW6" s="283"/>
    </row>
    <row r="7" spans="1:179">
      <c r="A7" s="85"/>
      <c r="D7" s="283">
        <v>43627</v>
      </c>
      <c r="E7" s="85">
        <v>105.88</v>
      </c>
      <c r="F7" s="85">
        <v>105.97799999999999</v>
      </c>
      <c r="G7" s="85">
        <v>105.929</v>
      </c>
      <c r="H7" s="85">
        <v>2.6440000000000001</v>
      </c>
      <c r="I7" s="85">
        <v>2.5620000000000003</v>
      </c>
      <c r="J7" s="85">
        <v>2.6029999999999998</v>
      </c>
      <c r="K7" s="283"/>
      <c r="O7" s="283">
        <v>43410</v>
      </c>
      <c r="P7" s="85">
        <v>109.021</v>
      </c>
      <c r="Q7" s="85">
        <v>109.068</v>
      </c>
      <c r="R7" s="85">
        <v>109.045</v>
      </c>
      <c r="S7" s="85">
        <v>2.536</v>
      </c>
      <c r="T7" s="85">
        <v>2.5099999999999998</v>
      </c>
      <c r="U7" s="152">
        <v>2.5230000000000001</v>
      </c>
      <c r="V7" s="152"/>
      <c r="W7" s="283">
        <v>43431</v>
      </c>
      <c r="X7" s="85">
        <v>108.03</v>
      </c>
      <c r="Y7" s="85">
        <v>108.081</v>
      </c>
      <c r="Z7" s="85">
        <v>108.056</v>
      </c>
      <c r="AA7" s="85">
        <v>2.9409999999999998</v>
      </c>
      <c r="AB7" s="85">
        <v>2.911</v>
      </c>
      <c r="AC7" s="85">
        <v>2.9260000000000002</v>
      </c>
      <c r="AE7" s="283">
        <v>43616</v>
      </c>
      <c r="AF7" s="85">
        <v>105.917</v>
      </c>
      <c r="AG7" s="85">
        <v>105.989</v>
      </c>
      <c r="AH7" s="85">
        <v>105.953</v>
      </c>
      <c r="AI7" s="85">
        <v>2.7160000000000002</v>
      </c>
      <c r="AJ7" s="85">
        <v>2.6560000000000001</v>
      </c>
      <c r="AK7" s="85">
        <v>2.6859999999999999</v>
      </c>
      <c r="AM7" s="283">
        <v>43622</v>
      </c>
      <c r="AN7" s="85">
        <v>105.86199999999999</v>
      </c>
      <c r="AO7" s="85">
        <v>105.943</v>
      </c>
      <c r="AP7" s="85">
        <v>105.90300000000001</v>
      </c>
      <c r="AQ7" s="85">
        <v>2.6930000000000001</v>
      </c>
      <c r="AR7" s="85">
        <v>2.6259999999999999</v>
      </c>
      <c r="AS7" s="85">
        <v>2.6589999999999998</v>
      </c>
      <c r="AT7" s="283"/>
      <c r="AU7" s="283">
        <v>43627</v>
      </c>
      <c r="AV7" s="85">
        <v>105.88</v>
      </c>
      <c r="AW7" s="85">
        <v>105.97799999999999</v>
      </c>
      <c r="AX7" s="85">
        <v>105.929</v>
      </c>
      <c r="AY7" s="85">
        <v>2.6440000000000001</v>
      </c>
      <c r="AZ7" s="85">
        <v>2.5620000000000003</v>
      </c>
      <c r="BA7" s="85">
        <v>2.6029999999999998</v>
      </c>
      <c r="BF7" s="152"/>
      <c r="BH7" s="283"/>
      <c r="BL7" s="152"/>
      <c r="BO7" s="283"/>
      <c r="BR7" s="152"/>
      <c r="BV7" s="283"/>
      <c r="BX7" s="152"/>
      <c r="CC7" s="283"/>
      <c r="CD7" s="152"/>
      <c r="CJ7" s="283"/>
      <c r="CP7" s="152"/>
      <c r="CQ7" s="283"/>
      <c r="CV7" s="152"/>
      <c r="CX7" s="283"/>
      <c r="DE7" s="283"/>
      <c r="DH7" s="152"/>
      <c r="DL7" s="283"/>
      <c r="DN7" s="152"/>
      <c r="DS7" s="283"/>
      <c r="DT7" s="152"/>
      <c r="DZ7" s="283"/>
      <c r="EF7" s="152"/>
      <c r="EG7" s="283"/>
      <c r="EL7" s="152"/>
      <c r="EN7" s="283"/>
      <c r="EU7" s="283"/>
      <c r="EX7" s="152"/>
      <c r="FB7" s="283"/>
      <c r="FI7" s="283"/>
      <c r="FP7" s="283"/>
      <c r="FW7" s="283"/>
    </row>
    <row r="8" spans="1:179">
      <c r="A8" s="85"/>
      <c r="D8" s="85" t="s">
        <v>117</v>
      </c>
      <c r="O8" s="85" t="s">
        <v>117</v>
      </c>
      <c r="W8" s="85" t="s">
        <v>117</v>
      </c>
      <c r="AE8" s="85" t="s">
        <v>117</v>
      </c>
      <c r="AM8" s="85" t="s">
        <v>117</v>
      </c>
      <c r="AU8" s="85" t="s">
        <v>117</v>
      </c>
    </row>
    <row r="9" spans="1:179">
      <c r="A9" s="85"/>
      <c r="D9" s="85" t="s">
        <v>468</v>
      </c>
      <c r="O9" s="85" t="s">
        <v>468</v>
      </c>
      <c r="W9" s="85" t="s">
        <v>468</v>
      </c>
      <c r="AE9" s="85" t="s">
        <v>468</v>
      </c>
      <c r="AM9" s="85" t="s">
        <v>468</v>
      </c>
      <c r="AU9" s="85" t="s">
        <v>468</v>
      </c>
    </row>
    <row r="10" spans="1:179">
      <c r="A10" s="85"/>
      <c r="E10" s="85" t="s">
        <v>327</v>
      </c>
      <c r="F10" s="85" t="s">
        <v>328</v>
      </c>
      <c r="G10" s="85" t="s">
        <v>329</v>
      </c>
      <c r="H10" s="85" t="s">
        <v>330</v>
      </c>
      <c r="I10" s="85" t="s">
        <v>331</v>
      </c>
      <c r="J10" s="85" t="s">
        <v>333</v>
      </c>
      <c r="P10" s="85" t="s">
        <v>327</v>
      </c>
      <c r="Q10" s="85" t="s">
        <v>328</v>
      </c>
      <c r="R10" s="85" t="s">
        <v>329</v>
      </c>
      <c r="S10" s="85" t="s">
        <v>330</v>
      </c>
      <c r="T10" s="85" t="s">
        <v>331</v>
      </c>
      <c r="U10" s="85" t="s">
        <v>333</v>
      </c>
      <c r="X10" s="85" t="s">
        <v>327</v>
      </c>
      <c r="Y10" s="85" t="s">
        <v>328</v>
      </c>
      <c r="Z10" s="85" t="s">
        <v>329</v>
      </c>
      <c r="AA10" s="85" t="s">
        <v>330</v>
      </c>
      <c r="AB10" s="85" t="s">
        <v>331</v>
      </c>
      <c r="AC10" s="85" t="s">
        <v>333</v>
      </c>
      <c r="AF10" s="85" t="s">
        <v>327</v>
      </c>
      <c r="AG10" s="85" t="s">
        <v>328</v>
      </c>
      <c r="AH10" s="85" t="s">
        <v>329</v>
      </c>
      <c r="AI10" s="85" t="s">
        <v>330</v>
      </c>
      <c r="AJ10" s="85" t="s">
        <v>331</v>
      </c>
      <c r="AK10" s="85" t="s">
        <v>333</v>
      </c>
      <c r="AN10" s="85" t="s">
        <v>327</v>
      </c>
      <c r="AO10" s="85" t="s">
        <v>328</v>
      </c>
      <c r="AP10" s="85" t="s">
        <v>329</v>
      </c>
      <c r="AQ10" s="85" t="s">
        <v>330</v>
      </c>
      <c r="AR10" s="85" t="s">
        <v>331</v>
      </c>
      <c r="AS10" s="85" t="s">
        <v>333</v>
      </c>
      <c r="AV10" s="85" t="s">
        <v>327</v>
      </c>
      <c r="AW10" s="85" t="s">
        <v>328</v>
      </c>
      <c r="AX10" s="85" t="s">
        <v>329</v>
      </c>
      <c r="AY10" s="85" t="s">
        <v>330</v>
      </c>
      <c r="AZ10" s="85" t="s">
        <v>331</v>
      </c>
      <c r="BA10" s="85" t="s">
        <v>333</v>
      </c>
    </row>
    <row r="11" spans="1:179">
      <c r="A11" s="85"/>
      <c r="D11" s="85" t="s">
        <v>427</v>
      </c>
      <c r="E11" s="85" t="s">
        <v>406</v>
      </c>
      <c r="F11" s="85" t="s">
        <v>408</v>
      </c>
      <c r="G11" s="85" t="s">
        <v>403</v>
      </c>
      <c r="H11" s="85" t="s">
        <v>407</v>
      </c>
      <c r="I11" s="85" t="s">
        <v>409</v>
      </c>
      <c r="J11" s="85" t="s">
        <v>404</v>
      </c>
      <c r="O11" s="85" t="s">
        <v>427</v>
      </c>
      <c r="P11" s="85" t="s">
        <v>406</v>
      </c>
      <c r="Q11" s="85" t="s">
        <v>408</v>
      </c>
      <c r="R11" s="85" t="s">
        <v>403</v>
      </c>
      <c r="S11" s="85" t="s">
        <v>407</v>
      </c>
      <c r="T11" s="85" t="s">
        <v>409</v>
      </c>
      <c r="U11" s="85" t="s">
        <v>404</v>
      </c>
      <c r="W11" s="85" t="s">
        <v>427</v>
      </c>
      <c r="X11" s="85" t="s">
        <v>406</v>
      </c>
      <c r="Y11" s="85" t="s">
        <v>408</v>
      </c>
      <c r="Z11" s="85" t="s">
        <v>403</v>
      </c>
      <c r="AA11" s="85" t="s">
        <v>407</v>
      </c>
      <c r="AB11" s="85" t="s">
        <v>409</v>
      </c>
      <c r="AC11" s="85" t="s">
        <v>404</v>
      </c>
      <c r="AE11" s="85" t="s">
        <v>427</v>
      </c>
      <c r="AF11" s="85" t="s">
        <v>406</v>
      </c>
      <c r="AG11" s="85" t="s">
        <v>408</v>
      </c>
      <c r="AH11" s="85" t="s">
        <v>403</v>
      </c>
      <c r="AI11" s="85" t="s">
        <v>407</v>
      </c>
      <c r="AJ11" s="85" t="s">
        <v>409</v>
      </c>
      <c r="AK11" s="85" t="s">
        <v>404</v>
      </c>
      <c r="AM11" s="85" t="s">
        <v>427</v>
      </c>
      <c r="AN11" s="85" t="s">
        <v>406</v>
      </c>
      <c r="AO11" s="85" t="s">
        <v>408</v>
      </c>
      <c r="AP11" s="85" t="s">
        <v>403</v>
      </c>
      <c r="AQ11" s="85" t="s">
        <v>407</v>
      </c>
      <c r="AR11" s="85" t="s">
        <v>409</v>
      </c>
      <c r="AS11" s="85" t="s">
        <v>404</v>
      </c>
      <c r="AU11" s="85" t="s">
        <v>427</v>
      </c>
      <c r="AV11" s="85" t="s">
        <v>406</v>
      </c>
      <c r="AW11" s="85" t="s">
        <v>408</v>
      </c>
      <c r="AX11" s="85" t="s">
        <v>403</v>
      </c>
      <c r="AY11" s="85" t="s">
        <v>407</v>
      </c>
      <c r="AZ11" s="85" t="s">
        <v>409</v>
      </c>
      <c r="BA11" s="85" t="s">
        <v>404</v>
      </c>
    </row>
    <row r="12" spans="1:179">
      <c r="A12" s="85"/>
      <c r="D12" s="283">
        <v>43629</v>
      </c>
      <c r="E12" s="85">
        <v>107.14</v>
      </c>
      <c r="F12" s="85">
        <v>107.224</v>
      </c>
      <c r="G12" s="85">
        <v>107.182</v>
      </c>
      <c r="H12" s="85">
        <v>3.3519999999999999</v>
      </c>
      <c r="I12" s="85">
        <v>3.331</v>
      </c>
      <c r="J12" s="85">
        <v>3.3420000000000001</v>
      </c>
      <c r="O12" s="283">
        <v>43412</v>
      </c>
      <c r="P12" s="85">
        <v>102.078</v>
      </c>
      <c r="Q12" s="85">
        <v>102.193</v>
      </c>
      <c r="R12" s="85">
        <v>102.136</v>
      </c>
      <c r="S12" s="85">
        <v>4.6970000000000001</v>
      </c>
      <c r="T12" s="85">
        <v>4.67</v>
      </c>
      <c r="U12" s="85">
        <v>4.6829999999999998</v>
      </c>
      <c r="W12" s="283">
        <v>43433</v>
      </c>
      <c r="X12" s="85">
        <v>102.598</v>
      </c>
      <c r="Y12" s="85">
        <v>102.718</v>
      </c>
      <c r="Z12" s="85">
        <v>102.658</v>
      </c>
      <c r="AA12" s="85">
        <v>4.569</v>
      </c>
      <c r="AB12" s="85">
        <v>4.5410000000000004</v>
      </c>
      <c r="AC12" s="85">
        <v>4.5549999999999997</v>
      </c>
      <c r="AE12" s="283">
        <v>43620</v>
      </c>
      <c r="AF12" s="85">
        <v>105.524</v>
      </c>
      <c r="AG12" s="85">
        <v>105.642</v>
      </c>
      <c r="AH12" s="85">
        <v>105.583</v>
      </c>
      <c r="AI12" s="85">
        <v>3.7610000000000001</v>
      </c>
      <c r="AJ12" s="85">
        <v>3.7320000000000002</v>
      </c>
      <c r="AK12" s="85">
        <v>3.7469999999999999</v>
      </c>
      <c r="AM12" s="283">
        <v>43626</v>
      </c>
      <c r="AN12" s="85">
        <v>106.07599999999999</v>
      </c>
      <c r="AO12" s="85">
        <v>106.125</v>
      </c>
      <c r="AP12" s="85">
        <v>106.101</v>
      </c>
      <c r="AQ12" s="85">
        <v>3.6189999999999998</v>
      </c>
      <c r="AR12" s="85">
        <v>3.6070000000000002</v>
      </c>
      <c r="AS12" s="85">
        <v>3.613</v>
      </c>
      <c r="AU12" s="283">
        <v>43629</v>
      </c>
      <c r="AV12" s="85">
        <v>107.14</v>
      </c>
      <c r="AW12" s="85">
        <v>107.224</v>
      </c>
      <c r="AX12" s="85">
        <v>107.182</v>
      </c>
      <c r="AY12" s="85">
        <v>3.3519999999999999</v>
      </c>
      <c r="AZ12" s="85">
        <v>3.331</v>
      </c>
      <c r="BA12" s="85">
        <v>3.3420000000000001</v>
      </c>
    </row>
    <row r="13" spans="1:179">
      <c r="A13" s="85"/>
      <c r="D13" s="283">
        <v>43628</v>
      </c>
      <c r="E13" s="85">
        <v>106.989</v>
      </c>
      <c r="F13" s="85">
        <v>107.077</v>
      </c>
      <c r="G13" s="85">
        <v>107.033</v>
      </c>
      <c r="H13" s="85">
        <v>3.39</v>
      </c>
      <c r="I13" s="85">
        <v>3.3679999999999999</v>
      </c>
      <c r="J13" s="85">
        <v>3.379</v>
      </c>
      <c r="O13" s="283">
        <v>43411</v>
      </c>
      <c r="P13" s="85">
        <v>102.095</v>
      </c>
      <c r="Q13" s="85">
        <v>102.212</v>
      </c>
      <c r="R13" s="85">
        <v>102.154</v>
      </c>
      <c r="S13" s="85">
        <v>4.6929999999999996</v>
      </c>
      <c r="T13" s="85">
        <v>4.6660000000000004</v>
      </c>
      <c r="U13" s="85">
        <v>4.68</v>
      </c>
      <c r="W13" s="283">
        <v>43432</v>
      </c>
      <c r="X13" s="85">
        <v>102.682</v>
      </c>
      <c r="Y13" s="85">
        <v>102.77200000000001</v>
      </c>
      <c r="Z13" s="85">
        <v>102.727</v>
      </c>
      <c r="AA13" s="85">
        <v>4.55</v>
      </c>
      <c r="AB13" s="85">
        <v>4.5289999999999999</v>
      </c>
      <c r="AC13" s="85">
        <v>4.5389999999999997</v>
      </c>
      <c r="AE13" s="283">
        <v>43619</v>
      </c>
      <c r="AF13" s="85">
        <v>105.485</v>
      </c>
      <c r="AG13" s="85">
        <v>105.571</v>
      </c>
      <c r="AH13" s="85">
        <v>105.52800000000001</v>
      </c>
      <c r="AI13" s="85">
        <v>3.7720000000000002</v>
      </c>
      <c r="AJ13" s="85">
        <v>3.7509999999999999</v>
      </c>
      <c r="AK13" s="85">
        <v>3.7610000000000001</v>
      </c>
      <c r="AM13" s="283">
        <v>43623</v>
      </c>
      <c r="AN13" s="85">
        <v>105.994</v>
      </c>
      <c r="AO13" s="85">
        <v>106.069</v>
      </c>
      <c r="AP13" s="85">
        <v>106.032</v>
      </c>
      <c r="AQ13" s="85">
        <v>3.64</v>
      </c>
      <c r="AR13" s="85">
        <v>3.6219999999999999</v>
      </c>
      <c r="AS13" s="85">
        <v>3.6310000000000002</v>
      </c>
      <c r="AU13" s="283">
        <v>43628</v>
      </c>
      <c r="AV13" s="85">
        <v>106.989</v>
      </c>
      <c r="AW13" s="85">
        <v>107.077</v>
      </c>
      <c r="AX13" s="85">
        <v>107.033</v>
      </c>
      <c r="AY13" s="85">
        <v>3.39</v>
      </c>
      <c r="AZ13" s="85">
        <v>3.3679999999999999</v>
      </c>
      <c r="BA13" s="85">
        <v>3.379</v>
      </c>
    </row>
    <row r="14" spans="1:179">
      <c r="A14" s="85"/>
      <c r="D14" s="283">
        <v>43627</v>
      </c>
      <c r="E14" s="85">
        <v>106.932</v>
      </c>
      <c r="F14" s="85">
        <v>107.07299999999999</v>
      </c>
      <c r="G14" s="85">
        <v>107.003</v>
      </c>
      <c r="H14" s="85">
        <v>3.407</v>
      </c>
      <c r="I14" s="85">
        <v>3.3730000000000002</v>
      </c>
      <c r="J14" s="85">
        <v>3.39</v>
      </c>
      <c r="O14" s="283">
        <v>43410</v>
      </c>
      <c r="P14" s="85">
        <v>102.083</v>
      </c>
      <c r="Q14" s="85">
        <v>102.209</v>
      </c>
      <c r="R14" s="85">
        <v>102.146</v>
      </c>
      <c r="S14" s="85">
        <v>4.6970000000000001</v>
      </c>
      <c r="T14" s="85">
        <v>4.6680000000000001</v>
      </c>
      <c r="U14" s="85">
        <v>4.6820000000000004</v>
      </c>
      <c r="W14" s="283">
        <v>43431</v>
      </c>
      <c r="X14" s="85">
        <v>102.587</v>
      </c>
      <c r="Y14" s="85">
        <v>102.699</v>
      </c>
      <c r="Z14" s="85">
        <v>102.643</v>
      </c>
      <c r="AA14" s="85">
        <v>4.5730000000000004</v>
      </c>
      <c r="AB14" s="85">
        <v>4.5469999999999997</v>
      </c>
      <c r="AC14" s="85">
        <v>4.5600000000000005</v>
      </c>
      <c r="AE14" s="283">
        <v>43616</v>
      </c>
      <c r="AF14" s="85">
        <v>105.303</v>
      </c>
      <c r="AG14" s="85">
        <v>105.378</v>
      </c>
      <c r="AH14" s="85">
        <v>105.34</v>
      </c>
      <c r="AI14" s="85">
        <v>3.8180000000000001</v>
      </c>
      <c r="AJ14" s="85">
        <v>3.7989999999999999</v>
      </c>
      <c r="AK14" s="85">
        <v>3.8090000000000002</v>
      </c>
      <c r="AM14" s="283">
        <v>43622</v>
      </c>
      <c r="AN14" s="85">
        <v>105.68300000000001</v>
      </c>
      <c r="AO14" s="85">
        <v>105.815</v>
      </c>
      <c r="AP14" s="85">
        <v>105.749</v>
      </c>
      <c r="AQ14" s="85">
        <v>3.7189999999999999</v>
      </c>
      <c r="AR14" s="85">
        <v>3.6859999999999999</v>
      </c>
      <c r="AS14" s="85">
        <v>3.702</v>
      </c>
      <c r="AU14" s="283">
        <v>43627</v>
      </c>
      <c r="AV14" s="85">
        <v>106.932</v>
      </c>
      <c r="AW14" s="85">
        <v>107.07299999999999</v>
      </c>
      <c r="AX14" s="85">
        <v>107.003</v>
      </c>
      <c r="AY14" s="85">
        <v>3.407</v>
      </c>
      <c r="AZ14" s="85">
        <v>3.3730000000000002</v>
      </c>
      <c r="BA14" s="85">
        <v>3.39</v>
      </c>
    </row>
    <row r="15" spans="1:179">
      <c r="A15" s="85"/>
      <c r="D15" s="85" t="s">
        <v>118</v>
      </c>
      <c r="O15" s="85" t="s">
        <v>118</v>
      </c>
      <c r="W15" s="85" t="s">
        <v>118</v>
      </c>
      <c r="AE15" s="85" t="s">
        <v>118</v>
      </c>
      <c r="AM15" s="85" t="s">
        <v>118</v>
      </c>
      <c r="AU15" s="85" t="s">
        <v>118</v>
      </c>
    </row>
    <row r="16" spans="1:179">
      <c r="A16" s="85"/>
      <c r="D16" s="85" t="s">
        <v>469</v>
      </c>
      <c r="O16" s="85" t="s">
        <v>469</v>
      </c>
      <c r="W16" s="85" t="s">
        <v>469</v>
      </c>
      <c r="AE16" s="85" t="s">
        <v>469</v>
      </c>
      <c r="AM16" s="85" t="s">
        <v>469</v>
      </c>
      <c r="AU16" s="85" t="s">
        <v>469</v>
      </c>
    </row>
    <row r="17" spans="1:53">
      <c r="A17" s="85"/>
      <c r="E17" s="85" t="s">
        <v>327</v>
      </c>
      <c r="F17" s="85" t="s">
        <v>328</v>
      </c>
      <c r="G17" s="85" t="s">
        <v>329</v>
      </c>
      <c r="H17" s="85" t="s">
        <v>330</v>
      </c>
      <c r="I17" s="85" t="s">
        <v>331</v>
      </c>
      <c r="J17" s="85" t="s">
        <v>333</v>
      </c>
      <c r="P17" s="85" t="s">
        <v>327</v>
      </c>
      <c r="Q17" s="85" t="s">
        <v>328</v>
      </c>
      <c r="R17" s="85" t="s">
        <v>329</v>
      </c>
      <c r="S17" s="85" t="s">
        <v>330</v>
      </c>
      <c r="T17" s="85" t="s">
        <v>331</v>
      </c>
      <c r="U17" s="85" t="s">
        <v>333</v>
      </c>
      <c r="X17" s="85" t="s">
        <v>327</v>
      </c>
      <c r="Y17" s="85" t="s">
        <v>328</v>
      </c>
      <c r="Z17" s="85" t="s">
        <v>329</v>
      </c>
      <c r="AA17" s="85" t="s">
        <v>330</v>
      </c>
      <c r="AB17" s="85" t="s">
        <v>331</v>
      </c>
      <c r="AC17" s="85" t="s">
        <v>333</v>
      </c>
      <c r="AF17" s="85" t="s">
        <v>327</v>
      </c>
      <c r="AG17" s="85" t="s">
        <v>328</v>
      </c>
      <c r="AH17" s="85" t="s">
        <v>329</v>
      </c>
      <c r="AI17" s="85" t="s">
        <v>330</v>
      </c>
      <c r="AJ17" s="85" t="s">
        <v>331</v>
      </c>
      <c r="AK17" s="85" t="s">
        <v>333</v>
      </c>
      <c r="AN17" s="85" t="s">
        <v>327</v>
      </c>
      <c r="AO17" s="85" t="s">
        <v>328</v>
      </c>
      <c r="AP17" s="85" t="s">
        <v>329</v>
      </c>
      <c r="AQ17" s="85" t="s">
        <v>330</v>
      </c>
      <c r="AR17" s="85" t="s">
        <v>331</v>
      </c>
      <c r="AS17" s="85" t="s">
        <v>333</v>
      </c>
      <c r="AV17" s="85" t="s">
        <v>327</v>
      </c>
      <c r="AW17" s="85" t="s">
        <v>328</v>
      </c>
      <c r="AX17" s="85" t="s">
        <v>329</v>
      </c>
      <c r="AY17" s="85" t="s">
        <v>330</v>
      </c>
      <c r="AZ17" s="85" t="s">
        <v>331</v>
      </c>
      <c r="BA17" s="85" t="s">
        <v>333</v>
      </c>
    </row>
    <row r="18" spans="1:53">
      <c r="A18" s="85"/>
      <c r="D18" s="85" t="s">
        <v>427</v>
      </c>
      <c r="E18" s="85" t="s">
        <v>406</v>
      </c>
      <c r="F18" s="85" t="s">
        <v>408</v>
      </c>
      <c r="G18" s="85" t="s">
        <v>403</v>
      </c>
      <c r="H18" s="85" t="s">
        <v>407</v>
      </c>
      <c r="I18" s="85" t="s">
        <v>409</v>
      </c>
      <c r="J18" s="85" t="s">
        <v>404</v>
      </c>
      <c r="O18" s="85" t="s">
        <v>427</v>
      </c>
      <c r="P18" s="85" t="s">
        <v>406</v>
      </c>
      <c r="Q18" s="85" t="s">
        <v>408</v>
      </c>
      <c r="R18" s="85" t="s">
        <v>403</v>
      </c>
      <c r="S18" s="85" t="s">
        <v>407</v>
      </c>
      <c r="T18" s="85" t="s">
        <v>409</v>
      </c>
      <c r="U18" s="85" t="s">
        <v>404</v>
      </c>
      <c r="W18" s="85" t="s">
        <v>427</v>
      </c>
      <c r="X18" s="85" t="s">
        <v>406</v>
      </c>
      <c r="Y18" s="85" t="s">
        <v>408</v>
      </c>
      <c r="Z18" s="85" t="s">
        <v>403</v>
      </c>
      <c r="AA18" s="85" t="s">
        <v>407</v>
      </c>
      <c r="AB18" s="85" t="s">
        <v>409</v>
      </c>
      <c r="AC18" s="85" t="s">
        <v>404</v>
      </c>
      <c r="AE18" s="85" t="s">
        <v>427</v>
      </c>
      <c r="AF18" s="85" t="s">
        <v>406</v>
      </c>
      <c r="AG18" s="85" t="s">
        <v>408</v>
      </c>
      <c r="AH18" s="85" t="s">
        <v>403</v>
      </c>
      <c r="AI18" s="85" t="s">
        <v>407</v>
      </c>
      <c r="AJ18" s="85" t="s">
        <v>409</v>
      </c>
      <c r="AK18" s="85" t="s">
        <v>404</v>
      </c>
      <c r="AM18" s="85" t="s">
        <v>427</v>
      </c>
      <c r="AN18" s="85" t="s">
        <v>406</v>
      </c>
      <c r="AO18" s="85" t="s">
        <v>408</v>
      </c>
      <c r="AP18" s="85" t="s">
        <v>403</v>
      </c>
      <c r="AQ18" s="85" t="s">
        <v>407</v>
      </c>
      <c r="AR18" s="85" t="s">
        <v>409</v>
      </c>
      <c r="AS18" s="85" t="s">
        <v>404</v>
      </c>
      <c r="AU18" s="85" t="s">
        <v>427</v>
      </c>
      <c r="AV18" s="85" t="s">
        <v>406</v>
      </c>
      <c r="AW18" s="85" t="s">
        <v>408</v>
      </c>
      <c r="AX18" s="85" t="s">
        <v>403</v>
      </c>
      <c r="AY18" s="85" t="s">
        <v>407</v>
      </c>
      <c r="AZ18" s="85" t="s">
        <v>409</v>
      </c>
      <c r="BA18" s="85" t="s">
        <v>404</v>
      </c>
    </row>
    <row r="19" spans="1:53">
      <c r="A19" s="85"/>
      <c r="D19" s="283">
        <v>43629</v>
      </c>
      <c r="E19" s="85">
        <v>109.363</v>
      </c>
      <c r="F19" s="85">
        <v>109.446</v>
      </c>
      <c r="G19" s="85">
        <v>109.405</v>
      </c>
      <c r="H19" s="85">
        <v>3.6659999999999999</v>
      </c>
      <c r="I19" s="85">
        <v>3.649</v>
      </c>
      <c r="J19" s="85">
        <v>3.657</v>
      </c>
      <c r="O19" s="283">
        <v>43412</v>
      </c>
      <c r="P19" s="85">
        <v>103.21</v>
      </c>
      <c r="Q19" s="85">
        <v>103.318</v>
      </c>
      <c r="R19" s="85">
        <v>103.264</v>
      </c>
      <c r="S19" s="85">
        <v>5.0369999999999999</v>
      </c>
      <c r="T19" s="85">
        <v>5.0149999999999997</v>
      </c>
      <c r="U19" s="85">
        <v>5.0259999999999998</v>
      </c>
      <c r="W19" s="283">
        <v>43433</v>
      </c>
      <c r="X19" s="85">
        <v>104.056</v>
      </c>
      <c r="Y19" s="85">
        <v>104.182</v>
      </c>
      <c r="Z19" s="85">
        <v>104.119</v>
      </c>
      <c r="AA19" s="85">
        <v>4.8609999999999998</v>
      </c>
      <c r="AB19" s="85">
        <v>4.8360000000000003</v>
      </c>
      <c r="AC19" s="85">
        <v>4.8490000000000002</v>
      </c>
      <c r="AE19" s="283">
        <v>43620</v>
      </c>
      <c r="AF19" s="85">
        <v>107.217</v>
      </c>
      <c r="AG19" s="85">
        <v>107.307</v>
      </c>
      <c r="AH19" s="85">
        <v>107.262</v>
      </c>
      <c r="AI19" s="85">
        <v>4.1180000000000003</v>
      </c>
      <c r="AJ19" s="85">
        <v>4.0990000000000002</v>
      </c>
      <c r="AK19" s="85">
        <v>4.109</v>
      </c>
      <c r="AM19" s="283">
        <v>43626</v>
      </c>
      <c r="AN19" s="85">
        <v>108.363</v>
      </c>
      <c r="AO19" s="85">
        <v>108.517</v>
      </c>
      <c r="AP19" s="85">
        <v>108.44</v>
      </c>
      <c r="AQ19" s="85">
        <v>3.875</v>
      </c>
      <c r="AR19" s="85">
        <v>3.8439999999999999</v>
      </c>
      <c r="AS19" s="85">
        <v>3.86</v>
      </c>
      <c r="AU19" s="283">
        <v>43629</v>
      </c>
      <c r="AV19" s="85">
        <v>109.363</v>
      </c>
      <c r="AW19" s="85">
        <v>109.446</v>
      </c>
      <c r="AX19" s="85">
        <v>109.405</v>
      </c>
      <c r="AY19" s="85">
        <v>3.6659999999999999</v>
      </c>
      <c r="AZ19" s="85">
        <v>3.649</v>
      </c>
      <c r="BA19" s="85">
        <v>3.657</v>
      </c>
    </row>
    <row r="20" spans="1:53">
      <c r="A20" s="85"/>
      <c r="D20" s="283">
        <v>43628</v>
      </c>
      <c r="E20" s="85">
        <v>109.104</v>
      </c>
      <c r="F20" s="85">
        <v>109.217</v>
      </c>
      <c r="G20" s="85">
        <v>109.161</v>
      </c>
      <c r="H20" s="85">
        <v>3.7199999999999998</v>
      </c>
      <c r="I20" s="85">
        <v>3.6959999999999997</v>
      </c>
      <c r="J20" s="85">
        <v>3.7080000000000002</v>
      </c>
      <c r="O20" s="283">
        <v>43411</v>
      </c>
      <c r="P20" s="85">
        <v>103.18300000000001</v>
      </c>
      <c r="Q20" s="85">
        <v>103.264</v>
      </c>
      <c r="R20" s="85">
        <v>103.224</v>
      </c>
      <c r="S20" s="85">
        <v>5.0419999999999998</v>
      </c>
      <c r="T20" s="85">
        <v>5.0259999999999998</v>
      </c>
      <c r="U20" s="85">
        <v>5.0339999999999998</v>
      </c>
      <c r="W20" s="283">
        <v>43432</v>
      </c>
      <c r="X20" s="85">
        <v>104.054</v>
      </c>
      <c r="Y20" s="85">
        <v>104.17</v>
      </c>
      <c r="Z20" s="85">
        <v>104.11199999999999</v>
      </c>
      <c r="AA20" s="85">
        <v>4.8620000000000001</v>
      </c>
      <c r="AB20" s="85">
        <v>4.8390000000000004</v>
      </c>
      <c r="AC20" s="85">
        <v>4.8499999999999996</v>
      </c>
      <c r="AE20" s="283">
        <v>43619</v>
      </c>
      <c r="AF20" s="85">
        <v>107.17</v>
      </c>
      <c r="AG20" s="85">
        <v>107.27200000000001</v>
      </c>
      <c r="AH20" s="85">
        <v>107.221</v>
      </c>
      <c r="AI20" s="85">
        <v>4.1289999999999996</v>
      </c>
      <c r="AJ20" s="85">
        <v>4.1070000000000002</v>
      </c>
      <c r="AK20" s="85">
        <v>4.1180000000000003</v>
      </c>
      <c r="AM20" s="283">
        <v>43623</v>
      </c>
      <c r="AN20" s="85">
        <v>107.93</v>
      </c>
      <c r="AO20" s="85">
        <v>108.039</v>
      </c>
      <c r="AP20" s="85">
        <v>107.985</v>
      </c>
      <c r="AQ20" s="85">
        <v>3.9660000000000002</v>
      </c>
      <c r="AR20" s="85">
        <v>3.9430000000000001</v>
      </c>
      <c r="AS20" s="85">
        <v>3.9539999999999997</v>
      </c>
      <c r="AU20" s="283">
        <v>43628</v>
      </c>
      <c r="AV20" s="85">
        <v>109.104</v>
      </c>
      <c r="AW20" s="85">
        <v>109.217</v>
      </c>
      <c r="AX20" s="85">
        <v>109.161</v>
      </c>
      <c r="AY20" s="85">
        <v>3.7199999999999998</v>
      </c>
      <c r="AZ20" s="85">
        <v>3.6959999999999997</v>
      </c>
      <c r="BA20" s="85">
        <v>3.7080000000000002</v>
      </c>
    </row>
    <row r="21" spans="1:53">
      <c r="A21" s="85"/>
      <c r="D21" s="283">
        <v>43627</v>
      </c>
      <c r="E21" s="85">
        <v>108.496</v>
      </c>
      <c r="F21" s="85">
        <v>108.61499999999999</v>
      </c>
      <c r="G21" s="85">
        <v>108.556</v>
      </c>
      <c r="H21" s="85">
        <v>3.847</v>
      </c>
      <c r="I21" s="85">
        <v>3.823</v>
      </c>
      <c r="J21" s="85">
        <v>3.835</v>
      </c>
      <c r="O21" s="283">
        <v>43410</v>
      </c>
      <c r="P21" s="85">
        <v>103.075</v>
      </c>
      <c r="Q21" s="85">
        <v>103.2</v>
      </c>
      <c r="R21" s="85">
        <v>103.13800000000001</v>
      </c>
      <c r="S21" s="85">
        <v>5.0650000000000004</v>
      </c>
      <c r="T21" s="85">
        <v>5.04</v>
      </c>
      <c r="U21" s="85">
        <v>5.0519999999999996</v>
      </c>
      <c r="W21" s="283">
        <v>43431</v>
      </c>
      <c r="X21" s="85">
        <v>103.95</v>
      </c>
      <c r="Y21" s="85">
        <v>104.081</v>
      </c>
      <c r="Z21" s="85">
        <v>104.01600000000001</v>
      </c>
      <c r="AA21" s="85">
        <v>4.8840000000000003</v>
      </c>
      <c r="AB21" s="85">
        <v>4.8570000000000002</v>
      </c>
      <c r="AC21" s="85">
        <v>4.87</v>
      </c>
      <c r="AE21" s="283">
        <v>43616</v>
      </c>
      <c r="AF21" s="85">
        <v>107.009</v>
      </c>
      <c r="AG21" s="85">
        <v>107.096</v>
      </c>
      <c r="AH21" s="85">
        <v>107.053</v>
      </c>
      <c r="AI21" s="85">
        <v>4.1630000000000003</v>
      </c>
      <c r="AJ21" s="85">
        <v>4.1449999999999996</v>
      </c>
      <c r="AK21" s="85">
        <v>4.1539999999999999</v>
      </c>
      <c r="AM21" s="283">
        <v>43622</v>
      </c>
      <c r="AN21" s="85">
        <v>107.547</v>
      </c>
      <c r="AO21" s="85">
        <v>107.65900000000001</v>
      </c>
      <c r="AP21" s="85">
        <v>107.60299999999999</v>
      </c>
      <c r="AQ21" s="85">
        <v>4.0460000000000003</v>
      </c>
      <c r="AR21" s="85">
        <v>4.0229999999999997</v>
      </c>
      <c r="AS21" s="85">
        <v>4.0350000000000001</v>
      </c>
      <c r="AU21" s="283">
        <v>43627</v>
      </c>
      <c r="AV21" s="85">
        <v>108.496</v>
      </c>
      <c r="AW21" s="85">
        <v>108.61499999999999</v>
      </c>
      <c r="AX21" s="85">
        <v>108.556</v>
      </c>
      <c r="AY21" s="85">
        <v>3.847</v>
      </c>
      <c r="AZ21" s="85">
        <v>3.823</v>
      </c>
      <c r="BA21" s="85">
        <v>3.835</v>
      </c>
    </row>
    <row r="22" spans="1:53">
      <c r="A22" s="85"/>
      <c r="D22" s="85" t="s">
        <v>119</v>
      </c>
      <c r="O22" s="85" t="s">
        <v>119</v>
      </c>
      <c r="W22" s="85" t="s">
        <v>119</v>
      </c>
      <c r="AE22" s="85" t="s">
        <v>119</v>
      </c>
      <c r="AM22" s="85" t="s">
        <v>119</v>
      </c>
      <c r="AU22" s="85" t="s">
        <v>119</v>
      </c>
    </row>
    <row r="23" spans="1:53">
      <c r="A23" s="85"/>
      <c r="D23" s="85" t="s">
        <v>470</v>
      </c>
      <c r="O23" s="85" t="s">
        <v>470</v>
      </c>
      <c r="W23" s="85" t="s">
        <v>470</v>
      </c>
      <c r="AE23" s="85" t="s">
        <v>470</v>
      </c>
      <c r="AM23" s="85" t="s">
        <v>470</v>
      </c>
      <c r="AU23" s="85" t="s">
        <v>470</v>
      </c>
    </row>
    <row r="24" spans="1:53">
      <c r="A24" s="85"/>
      <c r="E24" s="85" t="s">
        <v>327</v>
      </c>
      <c r="F24" s="85" t="s">
        <v>328</v>
      </c>
      <c r="G24" s="85" t="s">
        <v>329</v>
      </c>
      <c r="H24" s="85" t="s">
        <v>330</v>
      </c>
      <c r="I24" s="85" t="s">
        <v>331</v>
      </c>
      <c r="J24" s="85" t="s">
        <v>333</v>
      </c>
      <c r="P24" s="85" t="s">
        <v>327</v>
      </c>
      <c r="Q24" s="85" t="s">
        <v>328</v>
      </c>
      <c r="R24" s="85" t="s">
        <v>329</v>
      </c>
      <c r="S24" s="85" t="s">
        <v>330</v>
      </c>
      <c r="T24" s="85" t="s">
        <v>331</v>
      </c>
      <c r="U24" s="85" t="s">
        <v>333</v>
      </c>
      <c r="X24" s="85" t="s">
        <v>327</v>
      </c>
      <c r="Y24" s="85" t="s">
        <v>328</v>
      </c>
      <c r="Z24" s="85" t="s">
        <v>329</v>
      </c>
      <c r="AA24" s="85" t="s">
        <v>330</v>
      </c>
      <c r="AB24" s="85" t="s">
        <v>331</v>
      </c>
      <c r="AC24" s="85" t="s">
        <v>333</v>
      </c>
      <c r="AF24" s="85" t="s">
        <v>327</v>
      </c>
      <c r="AG24" s="85" t="s">
        <v>328</v>
      </c>
      <c r="AH24" s="85" t="s">
        <v>329</v>
      </c>
      <c r="AI24" s="85" t="s">
        <v>330</v>
      </c>
      <c r="AJ24" s="85" t="s">
        <v>331</v>
      </c>
      <c r="AK24" s="85" t="s">
        <v>333</v>
      </c>
      <c r="AN24" s="85" t="s">
        <v>327</v>
      </c>
      <c r="AO24" s="85" t="s">
        <v>328</v>
      </c>
      <c r="AP24" s="85" t="s">
        <v>329</v>
      </c>
      <c r="AQ24" s="85" t="s">
        <v>330</v>
      </c>
      <c r="AR24" s="85" t="s">
        <v>331</v>
      </c>
      <c r="AS24" s="85" t="s">
        <v>333</v>
      </c>
      <c r="AV24" s="85" t="s">
        <v>327</v>
      </c>
      <c r="AW24" s="85" t="s">
        <v>328</v>
      </c>
      <c r="AX24" s="85" t="s">
        <v>329</v>
      </c>
      <c r="AY24" s="85" t="s">
        <v>330</v>
      </c>
      <c r="AZ24" s="85" t="s">
        <v>331</v>
      </c>
      <c r="BA24" s="85" t="s">
        <v>333</v>
      </c>
    </row>
    <row r="25" spans="1:53">
      <c r="A25" s="85"/>
      <c r="D25" s="85" t="s">
        <v>427</v>
      </c>
      <c r="E25" s="85" t="s">
        <v>406</v>
      </c>
      <c r="F25" s="85" t="s">
        <v>408</v>
      </c>
      <c r="G25" s="85" t="s">
        <v>403</v>
      </c>
      <c r="H25" s="85" t="s">
        <v>407</v>
      </c>
      <c r="I25" s="85" t="s">
        <v>409</v>
      </c>
      <c r="J25" s="85" t="s">
        <v>404</v>
      </c>
      <c r="O25" s="85" t="s">
        <v>427</v>
      </c>
      <c r="P25" s="85" t="s">
        <v>406</v>
      </c>
      <c r="Q25" s="85" t="s">
        <v>408</v>
      </c>
      <c r="R25" s="85" t="s">
        <v>403</v>
      </c>
      <c r="S25" s="85" t="s">
        <v>407</v>
      </c>
      <c r="T25" s="85" t="s">
        <v>409</v>
      </c>
      <c r="U25" s="85" t="s">
        <v>404</v>
      </c>
      <c r="W25" s="85" t="s">
        <v>427</v>
      </c>
      <c r="X25" s="85" t="s">
        <v>406</v>
      </c>
      <c r="Y25" s="85" t="s">
        <v>408</v>
      </c>
      <c r="Z25" s="85" t="s">
        <v>403</v>
      </c>
      <c r="AA25" s="85" t="s">
        <v>407</v>
      </c>
      <c r="AB25" s="85" t="s">
        <v>409</v>
      </c>
      <c r="AC25" s="85" t="s">
        <v>404</v>
      </c>
      <c r="AE25" s="85" t="s">
        <v>427</v>
      </c>
      <c r="AF25" s="85" t="s">
        <v>406</v>
      </c>
      <c r="AG25" s="85" t="s">
        <v>408</v>
      </c>
      <c r="AH25" s="85" t="s">
        <v>403</v>
      </c>
      <c r="AI25" s="85" t="s">
        <v>407</v>
      </c>
      <c r="AJ25" s="85" t="s">
        <v>409</v>
      </c>
      <c r="AK25" s="85" t="s">
        <v>404</v>
      </c>
      <c r="AM25" s="85" t="s">
        <v>427</v>
      </c>
      <c r="AN25" s="85" t="s">
        <v>406</v>
      </c>
      <c r="AO25" s="85" t="s">
        <v>408</v>
      </c>
      <c r="AP25" s="85" t="s">
        <v>403</v>
      </c>
      <c r="AQ25" s="85" t="s">
        <v>407</v>
      </c>
      <c r="AR25" s="85" t="s">
        <v>409</v>
      </c>
      <c r="AS25" s="85" t="s">
        <v>404</v>
      </c>
      <c r="AU25" s="85" t="s">
        <v>427</v>
      </c>
      <c r="AV25" s="85" t="s">
        <v>406</v>
      </c>
      <c r="AW25" s="85" t="s">
        <v>408</v>
      </c>
      <c r="AX25" s="85" t="s">
        <v>403</v>
      </c>
      <c r="AY25" s="85" t="s">
        <v>407</v>
      </c>
      <c r="AZ25" s="85" t="s">
        <v>409</v>
      </c>
      <c r="BA25" s="85" t="s">
        <v>404</v>
      </c>
    </row>
    <row r="26" spans="1:53">
      <c r="A26" s="85"/>
      <c r="D26" s="283">
        <v>43629</v>
      </c>
      <c r="E26" s="85">
        <v>123.834</v>
      </c>
      <c r="F26" s="85">
        <v>123.93899999999999</v>
      </c>
      <c r="G26" s="85">
        <v>123.887</v>
      </c>
      <c r="H26" s="85">
        <v>4.2750000000000004</v>
      </c>
      <c r="I26" s="85">
        <v>4.26</v>
      </c>
      <c r="J26" s="85">
        <v>4.2670000000000003</v>
      </c>
      <c r="O26" s="283">
        <v>43412</v>
      </c>
      <c r="P26" s="85">
        <v>116.82899999999999</v>
      </c>
      <c r="Q26" s="85">
        <v>116.992</v>
      </c>
      <c r="R26" s="85">
        <v>116.911</v>
      </c>
      <c r="S26" s="85">
        <v>5.4950000000000001</v>
      </c>
      <c r="T26" s="85">
        <v>5.4710000000000001</v>
      </c>
      <c r="U26" s="85">
        <v>5.4829999999999997</v>
      </c>
      <c r="W26" s="283">
        <v>43433</v>
      </c>
      <c r="X26" s="85">
        <v>117.93600000000001</v>
      </c>
      <c r="Y26" s="85">
        <v>118.056</v>
      </c>
      <c r="Z26" s="85">
        <v>117.996</v>
      </c>
      <c r="AA26" s="85">
        <v>5.3179999999999996</v>
      </c>
      <c r="AB26" s="85">
        <v>5.3</v>
      </c>
      <c r="AC26" s="85">
        <v>5.3090000000000002</v>
      </c>
      <c r="AE26" s="283">
        <v>43620</v>
      </c>
      <c r="AF26" s="85">
        <v>121.49299999999999</v>
      </c>
      <c r="AG26" s="85">
        <v>121.613</v>
      </c>
      <c r="AH26" s="85">
        <v>121.553</v>
      </c>
      <c r="AI26" s="85">
        <v>4.63</v>
      </c>
      <c r="AJ26" s="85">
        <v>4.6120000000000001</v>
      </c>
      <c r="AK26" s="85">
        <v>4.6210000000000004</v>
      </c>
      <c r="AM26" s="283">
        <v>43626</v>
      </c>
      <c r="AN26" s="85">
        <v>122.33</v>
      </c>
      <c r="AO26" s="85">
        <v>122.48399999999999</v>
      </c>
      <c r="AP26" s="85">
        <v>122.407</v>
      </c>
      <c r="AQ26" s="85">
        <v>4.5</v>
      </c>
      <c r="AR26" s="85">
        <v>4.4770000000000003</v>
      </c>
      <c r="AS26" s="85">
        <v>4.4889999999999999</v>
      </c>
      <c r="AU26" s="283">
        <v>43629</v>
      </c>
      <c r="AV26" s="85">
        <v>123.834</v>
      </c>
      <c r="AW26" s="85">
        <v>123.93899999999999</v>
      </c>
      <c r="AX26" s="85">
        <v>123.887</v>
      </c>
      <c r="AY26" s="85">
        <v>4.2750000000000004</v>
      </c>
      <c r="AZ26" s="85">
        <v>4.26</v>
      </c>
      <c r="BA26" s="85">
        <v>4.2670000000000003</v>
      </c>
    </row>
    <row r="27" spans="1:53">
      <c r="A27" s="85"/>
      <c r="D27" s="283">
        <v>43627</v>
      </c>
      <c r="E27" s="85">
        <v>122.349</v>
      </c>
      <c r="F27" s="85">
        <v>122.444</v>
      </c>
      <c r="G27" s="85">
        <v>122.39700000000001</v>
      </c>
      <c r="H27" s="85">
        <v>4.4960000000000004</v>
      </c>
      <c r="I27" s="85">
        <v>4.4820000000000002</v>
      </c>
      <c r="J27" s="85">
        <v>4.4889999999999999</v>
      </c>
      <c r="O27" s="283">
        <v>43411</v>
      </c>
      <c r="P27" s="85">
        <v>116.7</v>
      </c>
      <c r="Q27" s="85">
        <v>116.84099999999999</v>
      </c>
      <c r="R27" s="85">
        <v>116.771</v>
      </c>
      <c r="S27" s="85">
        <v>5.5149999999999997</v>
      </c>
      <c r="T27" s="85">
        <v>5.4939999999999998</v>
      </c>
      <c r="U27" s="85">
        <v>5.5039999999999996</v>
      </c>
      <c r="W27" s="283">
        <v>43432</v>
      </c>
      <c r="X27" s="85">
        <v>117.84099999999999</v>
      </c>
      <c r="Y27" s="85">
        <v>118.024</v>
      </c>
      <c r="Z27" s="85">
        <v>117.93300000000001</v>
      </c>
      <c r="AA27" s="85">
        <v>5.3319999999999999</v>
      </c>
      <c r="AB27" s="85">
        <v>5.306</v>
      </c>
      <c r="AC27" s="85">
        <v>5.319</v>
      </c>
      <c r="AE27" s="283">
        <v>43619</v>
      </c>
      <c r="AF27" s="85">
        <v>121.53</v>
      </c>
      <c r="AG27" s="85">
        <v>121.675</v>
      </c>
      <c r="AH27" s="85">
        <v>121.602</v>
      </c>
      <c r="AI27" s="85">
        <v>4.625</v>
      </c>
      <c r="AJ27" s="85">
        <v>4.6040000000000001</v>
      </c>
      <c r="AK27" s="85">
        <v>4.6139999999999999</v>
      </c>
      <c r="AM27" s="283">
        <v>43623</v>
      </c>
      <c r="AN27" s="85">
        <v>122.245</v>
      </c>
      <c r="AO27" s="85">
        <v>122.386</v>
      </c>
      <c r="AP27" s="85">
        <v>122.316</v>
      </c>
      <c r="AQ27" s="85">
        <v>4.5129999999999999</v>
      </c>
      <c r="AR27" s="85">
        <v>4.4930000000000003</v>
      </c>
      <c r="AS27" s="85">
        <v>4.5030000000000001</v>
      </c>
      <c r="AU27" s="283">
        <v>43627</v>
      </c>
      <c r="AV27" s="85">
        <v>122.349</v>
      </c>
      <c r="AW27" s="85">
        <v>122.444</v>
      </c>
      <c r="AX27" s="85">
        <v>122.39700000000001</v>
      </c>
      <c r="AY27" s="85">
        <v>4.4960000000000004</v>
      </c>
      <c r="AZ27" s="85">
        <v>4.4820000000000002</v>
      </c>
      <c r="BA27" s="85">
        <v>4.4889999999999999</v>
      </c>
    </row>
    <row r="28" spans="1:53">
      <c r="A28" s="85"/>
      <c r="O28" s="283">
        <v>43410</v>
      </c>
      <c r="P28" s="85">
        <v>116.565</v>
      </c>
      <c r="Q28" s="85">
        <v>116.753</v>
      </c>
      <c r="R28" s="85">
        <v>116.65900000000001</v>
      </c>
      <c r="S28" s="85">
        <v>5.5359999999999996</v>
      </c>
      <c r="T28" s="85">
        <v>5.5090000000000003</v>
      </c>
      <c r="U28" s="85">
        <v>5.5229999999999997</v>
      </c>
      <c r="W28" s="283">
        <v>43431</v>
      </c>
      <c r="X28" s="85">
        <v>117.754</v>
      </c>
      <c r="Y28" s="85">
        <v>117.91800000000001</v>
      </c>
      <c r="Z28" s="85">
        <v>117.836</v>
      </c>
      <c r="AA28" s="85">
        <v>5.3469999999999995</v>
      </c>
      <c r="AB28" s="85">
        <v>5.3230000000000004</v>
      </c>
      <c r="AC28" s="85">
        <v>5.335</v>
      </c>
      <c r="AE28" s="283">
        <v>43616</v>
      </c>
      <c r="AF28" s="85">
        <v>121.446</v>
      </c>
      <c r="AG28" s="85">
        <v>121.574</v>
      </c>
      <c r="AH28" s="85">
        <v>121.51</v>
      </c>
      <c r="AI28" s="85">
        <v>4.6390000000000002</v>
      </c>
      <c r="AJ28" s="85">
        <v>4.62</v>
      </c>
      <c r="AK28" s="85">
        <v>4.6289999999999996</v>
      </c>
      <c r="AM28" s="283">
        <v>43622</v>
      </c>
      <c r="AN28" s="85">
        <v>121.93300000000001</v>
      </c>
      <c r="AO28" s="85">
        <v>122.124</v>
      </c>
      <c r="AP28" s="85">
        <v>122.029</v>
      </c>
      <c r="AQ28" s="85">
        <v>4.5600000000000005</v>
      </c>
      <c r="AR28" s="85">
        <v>4.532</v>
      </c>
      <c r="AS28" s="85">
        <v>4.5460000000000003</v>
      </c>
    </row>
    <row r="29" spans="1:53">
      <c r="A29" s="85"/>
      <c r="D29" s="85" t="s">
        <v>120</v>
      </c>
      <c r="O29" s="85" t="s">
        <v>120</v>
      </c>
      <c r="W29" s="85" t="s">
        <v>120</v>
      </c>
      <c r="AE29" s="85" t="s">
        <v>120</v>
      </c>
      <c r="AM29" s="85" t="s">
        <v>120</v>
      </c>
      <c r="AU29" s="85" t="s">
        <v>120</v>
      </c>
    </row>
    <row r="30" spans="1:53">
      <c r="A30" s="85"/>
      <c r="D30" s="85" t="s">
        <v>471</v>
      </c>
      <c r="O30" s="85" t="s">
        <v>471</v>
      </c>
      <c r="W30" s="85" t="s">
        <v>471</v>
      </c>
      <c r="AE30" s="85" t="s">
        <v>471</v>
      </c>
      <c r="AM30" s="85" t="s">
        <v>471</v>
      </c>
      <c r="AU30" s="85" t="s">
        <v>471</v>
      </c>
    </row>
    <row r="31" spans="1:53">
      <c r="A31" s="85"/>
      <c r="E31" s="85" t="s">
        <v>327</v>
      </c>
      <c r="F31" s="85" t="s">
        <v>328</v>
      </c>
      <c r="G31" s="85" t="s">
        <v>329</v>
      </c>
      <c r="H31" s="85" t="s">
        <v>330</v>
      </c>
      <c r="I31" s="85" t="s">
        <v>331</v>
      </c>
      <c r="J31" s="85" t="s">
        <v>333</v>
      </c>
      <c r="P31" s="85" t="s">
        <v>327</v>
      </c>
      <c r="Q31" s="85" t="s">
        <v>328</v>
      </c>
      <c r="R31" s="85" t="s">
        <v>329</v>
      </c>
      <c r="S31" s="85" t="s">
        <v>330</v>
      </c>
      <c r="T31" s="85" t="s">
        <v>331</v>
      </c>
      <c r="U31" s="85" t="s">
        <v>333</v>
      </c>
      <c r="X31" s="85" t="s">
        <v>327</v>
      </c>
      <c r="Y31" s="85" t="s">
        <v>328</v>
      </c>
      <c r="Z31" s="85" t="s">
        <v>329</v>
      </c>
      <c r="AA31" s="85" t="s">
        <v>330</v>
      </c>
      <c r="AB31" s="85" t="s">
        <v>331</v>
      </c>
      <c r="AC31" s="85" t="s">
        <v>333</v>
      </c>
      <c r="AF31" s="85" t="s">
        <v>327</v>
      </c>
      <c r="AG31" s="85" t="s">
        <v>328</v>
      </c>
      <c r="AH31" s="85" t="s">
        <v>329</v>
      </c>
      <c r="AI31" s="85" t="s">
        <v>330</v>
      </c>
      <c r="AJ31" s="85" t="s">
        <v>331</v>
      </c>
      <c r="AK31" s="85" t="s">
        <v>333</v>
      </c>
      <c r="AN31" s="85" t="s">
        <v>327</v>
      </c>
      <c r="AO31" s="85" t="s">
        <v>328</v>
      </c>
      <c r="AP31" s="85" t="s">
        <v>329</v>
      </c>
      <c r="AQ31" s="85" t="s">
        <v>330</v>
      </c>
      <c r="AR31" s="85" t="s">
        <v>331</v>
      </c>
      <c r="AS31" s="85" t="s">
        <v>333</v>
      </c>
      <c r="AV31" s="85" t="s">
        <v>327</v>
      </c>
      <c r="AW31" s="85" t="s">
        <v>328</v>
      </c>
      <c r="AX31" s="85" t="s">
        <v>329</v>
      </c>
      <c r="AY31" s="85" t="s">
        <v>330</v>
      </c>
      <c r="AZ31" s="85" t="s">
        <v>331</v>
      </c>
      <c r="BA31" s="85" t="s">
        <v>333</v>
      </c>
    </row>
    <row r="32" spans="1:53">
      <c r="A32" s="85"/>
      <c r="D32" s="85" t="s">
        <v>427</v>
      </c>
      <c r="E32" s="85" t="s">
        <v>406</v>
      </c>
      <c r="F32" s="85" t="s">
        <v>408</v>
      </c>
      <c r="G32" s="85" t="s">
        <v>403</v>
      </c>
      <c r="H32" s="85" t="s">
        <v>407</v>
      </c>
      <c r="I32" s="85" t="s">
        <v>409</v>
      </c>
      <c r="J32" s="85" t="s">
        <v>404</v>
      </c>
      <c r="O32" s="85" t="s">
        <v>427</v>
      </c>
      <c r="P32" s="85" t="s">
        <v>406</v>
      </c>
      <c r="Q32" s="85" t="s">
        <v>408</v>
      </c>
      <c r="R32" s="85" t="s">
        <v>403</v>
      </c>
      <c r="S32" s="85" t="s">
        <v>407</v>
      </c>
      <c r="T32" s="85" t="s">
        <v>409</v>
      </c>
      <c r="U32" s="85" t="s">
        <v>404</v>
      </c>
      <c r="W32" s="85" t="s">
        <v>427</v>
      </c>
      <c r="X32" s="85" t="s">
        <v>406</v>
      </c>
      <c r="Y32" s="85" t="s">
        <v>408</v>
      </c>
      <c r="Z32" s="85" t="s">
        <v>403</v>
      </c>
      <c r="AA32" s="85" t="s">
        <v>407</v>
      </c>
      <c r="AB32" s="85" t="s">
        <v>409</v>
      </c>
      <c r="AC32" s="85" t="s">
        <v>404</v>
      </c>
      <c r="AE32" s="85" t="s">
        <v>427</v>
      </c>
      <c r="AF32" s="85" t="s">
        <v>406</v>
      </c>
      <c r="AG32" s="85" t="s">
        <v>408</v>
      </c>
      <c r="AH32" s="85" t="s">
        <v>403</v>
      </c>
      <c r="AI32" s="85" t="s">
        <v>407</v>
      </c>
      <c r="AJ32" s="85" t="s">
        <v>409</v>
      </c>
      <c r="AK32" s="85" t="s">
        <v>404</v>
      </c>
      <c r="AM32" s="85" t="s">
        <v>427</v>
      </c>
      <c r="AN32" s="85" t="s">
        <v>406</v>
      </c>
      <c r="AO32" s="85" t="s">
        <v>408</v>
      </c>
      <c r="AP32" s="85" t="s">
        <v>403</v>
      </c>
      <c r="AQ32" s="85" t="s">
        <v>407</v>
      </c>
      <c r="AR32" s="85" t="s">
        <v>409</v>
      </c>
      <c r="AS32" s="85" t="s">
        <v>404</v>
      </c>
      <c r="AU32" s="85" t="s">
        <v>427</v>
      </c>
      <c r="AV32" s="85" t="s">
        <v>406</v>
      </c>
      <c r="AW32" s="85" t="s">
        <v>408</v>
      </c>
      <c r="AX32" s="85" t="s">
        <v>403</v>
      </c>
      <c r="AY32" s="85" t="s">
        <v>407</v>
      </c>
      <c r="AZ32" s="85" t="s">
        <v>409</v>
      </c>
      <c r="BA32" s="85" t="s">
        <v>404</v>
      </c>
    </row>
    <row r="33" spans="1:53">
      <c r="A33" s="85"/>
      <c r="D33" s="283">
        <v>43629</v>
      </c>
      <c r="E33" s="85">
        <v>111.642</v>
      </c>
      <c r="F33" s="85">
        <v>111.8</v>
      </c>
      <c r="G33" s="85">
        <v>111.721</v>
      </c>
      <c r="H33" s="85">
        <v>4.75</v>
      </c>
      <c r="I33" s="85">
        <v>4.7290000000000001</v>
      </c>
      <c r="J33" s="85">
        <v>4.74</v>
      </c>
      <c r="O33" s="283">
        <v>43412</v>
      </c>
      <c r="P33" s="85">
        <v>104.104</v>
      </c>
      <c r="Q33" s="85">
        <v>104.30500000000001</v>
      </c>
      <c r="R33" s="85">
        <v>104.205</v>
      </c>
      <c r="S33" s="85">
        <v>5.7889999999999997</v>
      </c>
      <c r="T33" s="85">
        <v>5.7620000000000005</v>
      </c>
      <c r="U33" s="85">
        <v>5.7750000000000004</v>
      </c>
      <c r="W33" s="283">
        <v>43433</v>
      </c>
      <c r="X33" s="85">
        <v>105.413</v>
      </c>
      <c r="Y33" s="85">
        <v>105.55</v>
      </c>
      <c r="Z33" s="85">
        <v>105.482</v>
      </c>
      <c r="AA33" s="85">
        <v>5.6120000000000001</v>
      </c>
      <c r="AB33" s="85">
        <v>5.5940000000000003</v>
      </c>
      <c r="AC33" s="85">
        <v>5.6029999999999998</v>
      </c>
      <c r="AE33" s="283">
        <v>43620</v>
      </c>
      <c r="AF33" s="85">
        <v>109.65900000000001</v>
      </c>
      <c r="AG33" s="85">
        <v>109.803</v>
      </c>
      <c r="AH33" s="85">
        <v>109.73099999999999</v>
      </c>
      <c r="AI33" s="85">
        <v>5.01</v>
      </c>
      <c r="AJ33" s="85">
        <v>4.992</v>
      </c>
      <c r="AK33" s="85">
        <v>5.0010000000000003</v>
      </c>
      <c r="AM33" s="283">
        <v>43626</v>
      </c>
      <c r="AN33" s="85">
        <v>110.452</v>
      </c>
      <c r="AO33" s="85">
        <v>110.631</v>
      </c>
      <c r="AP33" s="85">
        <v>110.542</v>
      </c>
      <c r="AQ33" s="85">
        <v>4.9050000000000002</v>
      </c>
      <c r="AR33" s="85">
        <v>4.8819999999999997</v>
      </c>
      <c r="AS33" s="85">
        <v>4.8929999999999998</v>
      </c>
      <c r="AU33" s="283">
        <v>43629</v>
      </c>
      <c r="AV33" s="85">
        <v>111.642</v>
      </c>
      <c r="AW33" s="85">
        <v>111.8</v>
      </c>
      <c r="AX33" s="85">
        <v>111.721</v>
      </c>
      <c r="AY33" s="85">
        <v>4.75</v>
      </c>
      <c r="AZ33" s="85">
        <v>4.7290000000000001</v>
      </c>
      <c r="BA33" s="85">
        <v>4.74</v>
      </c>
    </row>
    <row r="34" spans="1:53">
      <c r="A34" s="85"/>
      <c r="D34" s="283">
        <v>43627</v>
      </c>
      <c r="E34" s="85">
        <v>110.491</v>
      </c>
      <c r="F34" s="85">
        <v>110.636</v>
      </c>
      <c r="G34" s="85">
        <v>110.56399999999999</v>
      </c>
      <c r="H34" s="85">
        <v>4.9000000000000004</v>
      </c>
      <c r="I34" s="85">
        <v>4.8810000000000002</v>
      </c>
      <c r="J34" s="85">
        <v>4.8899999999999997</v>
      </c>
      <c r="O34" s="283">
        <v>43411</v>
      </c>
      <c r="P34" s="85">
        <v>104.045</v>
      </c>
      <c r="Q34" s="85">
        <v>104.223</v>
      </c>
      <c r="R34" s="85">
        <v>104.134</v>
      </c>
      <c r="S34" s="85">
        <v>5.7969999999999997</v>
      </c>
      <c r="T34" s="85">
        <v>5.7729999999999997</v>
      </c>
      <c r="U34" s="85">
        <v>5.7850000000000001</v>
      </c>
      <c r="W34" s="283">
        <v>43432</v>
      </c>
      <c r="X34" s="85">
        <v>105.28</v>
      </c>
      <c r="Y34" s="85">
        <v>105.44499999999999</v>
      </c>
      <c r="Z34" s="85">
        <v>105.363</v>
      </c>
      <c r="AA34" s="85">
        <v>5.63</v>
      </c>
      <c r="AB34" s="85">
        <v>5.6079999999999997</v>
      </c>
      <c r="AC34" s="85">
        <v>5.6189999999999998</v>
      </c>
      <c r="AE34" s="283">
        <v>43619</v>
      </c>
      <c r="AF34" s="85">
        <v>109.669</v>
      </c>
      <c r="AG34" s="85">
        <v>109.833</v>
      </c>
      <c r="AH34" s="85">
        <v>109.751</v>
      </c>
      <c r="AI34" s="85">
        <v>5.0090000000000003</v>
      </c>
      <c r="AJ34" s="85">
        <v>4.9879999999999995</v>
      </c>
      <c r="AK34" s="85">
        <v>4.9989999999999997</v>
      </c>
      <c r="AM34" s="283">
        <v>43623</v>
      </c>
      <c r="AN34" s="85">
        <v>110.429</v>
      </c>
      <c r="AO34" s="85">
        <v>110.56</v>
      </c>
      <c r="AP34" s="85">
        <v>110.495</v>
      </c>
      <c r="AQ34" s="85">
        <v>4.9080000000000004</v>
      </c>
      <c r="AR34" s="85">
        <v>4.891</v>
      </c>
      <c r="AS34" s="85">
        <v>4.9000000000000004</v>
      </c>
      <c r="AU34" s="283">
        <v>43627</v>
      </c>
      <c r="AV34" s="85">
        <v>110.491</v>
      </c>
      <c r="AW34" s="85">
        <v>110.636</v>
      </c>
      <c r="AX34" s="85">
        <v>110.56399999999999</v>
      </c>
      <c r="AY34" s="85">
        <v>4.9000000000000004</v>
      </c>
      <c r="AZ34" s="85">
        <v>4.8810000000000002</v>
      </c>
      <c r="BA34" s="85">
        <v>4.8899999999999997</v>
      </c>
    </row>
    <row r="35" spans="1:53">
      <c r="A35" s="85"/>
      <c r="O35" s="283">
        <v>43410</v>
      </c>
      <c r="P35" s="85">
        <v>103.861</v>
      </c>
      <c r="Q35" s="85">
        <v>104.021</v>
      </c>
      <c r="R35" s="85">
        <v>103.941</v>
      </c>
      <c r="S35" s="85">
        <v>5.8220000000000001</v>
      </c>
      <c r="T35" s="85">
        <v>5.8</v>
      </c>
      <c r="U35" s="85">
        <v>5.8109999999999999</v>
      </c>
      <c r="W35" s="283">
        <v>43431</v>
      </c>
      <c r="X35" s="85">
        <v>105.15300000000001</v>
      </c>
      <c r="Y35" s="85">
        <v>105.36499999999999</v>
      </c>
      <c r="Z35" s="85">
        <v>105.259</v>
      </c>
      <c r="AA35" s="85">
        <v>5.6470000000000002</v>
      </c>
      <c r="AB35" s="85">
        <v>5.6189999999999998</v>
      </c>
      <c r="AC35" s="85">
        <v>5.633</v>
      </c>
      <c r="AE35" s="283">
        <v>43616</v>
      </c>
      <c r="AF35" s="85">
        <v>109.70099999999999</v>
      </c>
      <c r="AG35" s="85">
        <v>109.842</v>
      </c>
      <c r="AH35" s="85">
        <v>109.77200000000001</v>
      </c>
      <c r="AI35" s="85">
        <v>5.0060000000000002</v>
      </c>
      <c r="AJ35" s="85">
        <v>4.9870000000000001</v>
      </c>
      <c r="AK35" s="85">
        <v>4.9960000000000004</v>
      </c>
      <c r="AM35" s="283">
        <v>43622</v>
      </c>
      <c r="AN35" s="85">
        <v>109.804</v>
      </c>
      <c r="AO35" s="85">
        <v>109.93</v>
      </c>
      <c r="AP35" s="85">
        <v>109.867</v>
      </c>
      <c r="AQ35" s="85">
        <v>4.99</v>
      </c>
      <c r="AR35" s="85">
        <v>4.9740000000000002</v>
      </c>
      <c r="AS35" s="85">
        <v>4.9820000000000002</v>
      </c>
    </row>
    <row r="36" spans="1:53">
      <c r="A36" s="85"/>
      <c r="D36" s="85" t="s">
        <v>121</v>
      </c>
      <c r="O36" s="85" t="s">
        <v>121</v>
      </c>
      <c r="W36" s="85" t="s">
        <v>121</v>
      </c>
      <c r="AE36" s="85" t="s">
        <v>121</v>
      </c>
      <c r="AM36" s="85" t="s">
        <v>121</v>
      </c>
      <c r="AU36" s="85" t="s">
        <v>121</v>
      </c>
    </row>
    <row r="37" spans="1:53">
      <c r="A37" s="85"/>
      <c r="D37" s="85" t="s">
        <v>472</v>
      </c>
      <c r="O37" s="85" t="s">
        <v>472</v>
      </c>
      <c r="W37" s="85" t="s">
        <v>472</v>
      </c>
      <c r="AE37" s="85" t="s">
        <v>472</v>
      </c>
      <c r="AM37" s="85" t="s">
        <v>472</v>
      </c>
      <c r="AU37" s="85" t="s">
        <v>472</v>
      </c>
    </row>
    <row r="38" spans="1:53">
      <c r="A38" s="85"/>
      <c r="E38" s="85" t="s">
        <v>327</v>
      </c>
      <c r="F38" s="85" t="s">
        <v>328</v>
      </c>
      <c r="G38" s="85" t="s">
        <v>329</v>
      </c>
      <c r="H38" s="85" t="s">
        <v>330</v>
      </c>
      <c r="I38" s="85" t="s">
        <v>331</v>
      </c>
      <c r="J38" s="85" t="s">
        <v>333</v>
      </c>
      <c r="P38" s="85" t="s">
        <v>327</v>
      </c>
      <c r="Q38" s="85" t="s">
        <v>328</v>
      </c>
      <c r="R38" s="85" t="s">
        <v>329</v>
      </c>
      <c r="S38" s="85" t="s">
        <v>330</v>
      </c>
      <c r="T38" s="85" t="s">
        <v>331</v>
      </c>
      <c r="U38" s="85" t="s">
        <v>333</v>
      </c>
      <c r="X38" s="85" t="s">
        <v>327</v>
      </c>
      <c r="Y38" s="85" t="s">
        <v>328</v>
      </c>
      <c r="Z38" s="85" t="s">
        <v>329</v>
      </c>
      <c r="AA38" s="85" t="s">
        <v>330</v>
      </c>
      <c r="AB38" s="85" t="s">
        <v>331</v>
      </c>
      <c r="AC38" s="85" t="s">
        <v>333</v>
      </c>
      <c r="AF38" s="85" t="s">
        <v>327</v>
      </c>
      <c r="AG38" s="85" t="s">
        <v>328</v>
      </c>
      <c r="AH38" s="85" t="s">
        <v>329</v>
      </c>
      <c r="AI38" s="85" t="s">
        <v>330</v>
      </c>
      <c r="AJ38" s="85" t="s">
        <v>331</v>
      </c>
      <c r="AK38" s="85" t="s">
        <v>333</v>
      </c>
      <c r="AN38" s="85" t="s">
        <v>327</v>
      </c>
      <c r="AO38" s="85" t="s">
        <v>328</v>
      </c>
      <c r="AP38" s="85" t="s">
        <v>329</v>
      </c>
      <c r="AQ38" s="85" t="s">
        <v>330</v>
      </c>
      <c r="AR38" s="85" t="s">
        <v>331</v>
      </c>
      <c r="AS38" s="85" t="s">
        <v>333</v>
      </c>
      <c r="AV38" s="85" t="s">
        <v>327</v>
      </c>
      <c r="AW38" s="85" t="s">
        <v>328</v>
      </c>
      <c r="AX38" s="85" t="s">
        <v>329</v>
      </c>
      <c r="AY38" s="85" t="s">
        <v>330</v>
      </c>
      <c r="AZ38" s="85" t="s">
        <v>331</v>
      </c>
      <c r="BA38" s="85" t="s">
        <v>333</v>
      </c>
    </row>
    <row r="39" spans="1:53">
      <c r="D39" s="85" t="s">
        <v>427</v>
      </c>
      <c r="E39" s="85" t="s">
        <v>406</v>
      </c>
      <c r="F39" s="85" t="s">
        <v>408</v>
      </c>
      <c r="G39" s="85" t="s">
        <v>403</v>
      </c>
      <c r="H39" s="85" t="s">
        <v>407</v>
      </c>
      <c r="I39" s="85" t="s">
        <v>409</v>
      </c>
      <c r="J39" s="85" t="s">
        <v>404</v>
      </c>
      <c r="O39" s="85" t="s">
        <v>427</v>
      </c>
      <c r="P39" s="85" t="s">
        <v>406</v>
      </c>
      <c r="Q39" s="85" t="s">
        <v>408</v>
      </c>
      <c r="R39" s="85" t="s">
        <v>403</v>
      </c>
      <c r="S39" s="85" t="s">
        <v>407</v>
      </c>
      <c r="T39" s="85" t="s">
        <v>409</v>
      </c>
      <c r="U39" s="85" t="s">
        <v>404</v>
      </c>
      <c r="W39" s="85" t="s">
        <v>427</v>
      </c>
      <c r="X39" s="85" t="s">
        <v>406</v>
      </c>
      <c r="Y39" s="85" t="s">
        <v>408</v>
      </c>
      <c r="Z39" s="85" t="s">
        <v>403</v>
      </c>
      <c r="AA39" s="85" t="s">
        <v>407</v>
      </c>
      <c r="AB39" s="85" t="s">
        <v>409</v>
      </c>
      <c r="AC39" s="85" t="s">
        <v>404</v>
      </c>
      <c r="AE39" s="85" t="s">
        <v>427</v>
      </c>
      <c r="AF39" s="85" t="s">
        <v>406</v>
      </c>
      <c r="AG39" s="85" t="s">
        <v>408</v>
      </c>
      <c r="AH39" s="85" t="s">
        <v>403</v>
      </c>
      <c r="AI39" s="85" t="s">
        <v>407</v>
      </c>
      <c r="AJ39" s="85" t="s">
        <v>409</v>
      </c>
      <c r="AK39" s="85" t="s">
        <v>404</v>
      </c>
      <c r="AM39" s="85" t="s">
        <v>427</v>
      </c>
      <c r="AN39" s="85" t="s">
        <v>406</v>
      </c>
      <c r="AO39" s="85" t="s">
        <v>408</v>
      </c>
      <c r="AP39" s="85" t="s">
        <v>403</v>
      </c>
      <c r="AQ39" s="85" t="s">
        <v>407</v>
      </c>
      <c r="AR39" s="85" t="s">
        <v>409</v>
      </c>
      <c r="AS39" s="85" t="s">
        <v>404</v>
      </c>
      <c r="AU39" s="85" t="s">
        <v>427</v>
      </c>
      <c r="AV39" s="85" t="s">
        <v>406</v>
      </c>
      <c r="AW39" s="85" t="s">
        <v>408</v>
      </c>
      <c r="AX39" s="85" t="s">
        <v>403</v>
      </c>
      <c r="AY39" s="85" t="s">
        <v>407</v>
      </c>
      <c r="AZ39" s="85" t="s">
        <v>409</v>
      </c>
      <c r="BA39" s="85" t="s">
        <v>404</v>
      </c>
    </row>
    <row r="40" spans="1:53">
      <c r="D40" s="85" t="e">
        <v>#N/A</v>
      </c>
      <c r="O40" s="283">
        <v>43412</v>
      </c>
      <c r="P40" s="85">
        <v>101.678</v>
      </c>
      <c r="Q40" s="85">
        <v>102.91200000000001</v>
      </c>
      <c r="R40" s="85">
        <v>102.295</v>
      </c>
      <c r="S40" s="85">
        <v>5.7750000000000004</v>
      </c>
      <c r="T40" s="85">
        <v>5.6139999999999999</v>
      </c>
      <c r="U40" s="85">
        <v>5.694</v>
      </c>
      <c r="W40" s="283">
        <v>43433</v>
      </c>
      <c r="X40" s="85">
        <v>102.60599999999999</v>
      </c>
      <c r="Y40" s="85">
        <v>103.732</v>
      </c>
      <c r="Z40" s="85">
        <v>103.169</v>
      </c>
      <c r="AA40" s="85">
        <v>5.6530000000000005</v>
      </c>
      <c r="AB40" s="85">
        <v>5.508</v>
      </c>
      <c r="AC40" s="85">
        <v>5.58</v>
      </c>
      <c r="AE40" s="283">
        <v>43619</v>
      </c>
      <c r="AF40" s="85">
        <v>106.821</v>
      </c>
      <c r="AG40" s="85">
        <v>107.34399999999999</v>
      </c>
      <c r="AH40" s="85">
        <v>107.083</v>
      </c>
      <c r="AI40" s="85">
        <v>5.085</v>
      </c>
      <c r="AJ40" s="85">
        <v>5.0179999999999998</v>
      </c>
      <c r="AK40" s="85">
        <v>5.0510000000000002</v>
      </c>
      <c r="AM40" s="85">
        <v>0</v>
      </c>
      <c r="AU40" s="85" t="e">
        <v>#N/A</v>
      </c>
    </row>
    <row r="41" spans="1:53">
      <c r="O41" s="283">
        <v>43411</v>
      </c>
      <c r="P41" s="85">
        <v>101.658</v>
      </c>
      <c r="Q41" s="85">
        <v>102.863</v>
      </c>
      <c r="R41" s="85">
        <v>102.261</v>
      </c>
      <c r="S41" s="85">
        <v>5.7770000000000001</v>
      </c>
      <c r="T41" s="85">
        <v>5.6210000000000004</v>
      </c>
      <c r="U41" s="85">
        <v>5.6989999999999998</v>
      </c>
      <c r="W41" s="283">
        <v>43432</v>
      </c>
      <c r="X41" s="85">
        <v>102.67700000000001</v>
      </c>
      <c r="Y41" s="85">
        <v>103.813</v>
      </c>
      <c r="Z41" s="85">
        <v>103.245</v>
      </c>
      <c r="AA41" s="85">
        <v>5.6440000000000001</v>
      </c>
      <c r="AB41" s="85">
        <v>5.4969999999999999</v>
      </c>
      <c r="AC41" s="85">
        <v>5.57</v>
      </c>
      <c r="AE41" s="283">
        <v>43616</v>
      </c>
      <c r="AF41" s="85">
        <v>107.03</v>
      </c>
      <c r="AG41" s="85">
        <v>107.113</v>
      </c>
      <c r="AH41" s="85">
        <v>107.072</v>
      </c>
      <c r="AI41" s="85">
        <v>5.0579999999999998</v>
      </c>
      <c r="AJ41" s="85">
        <v>5.048</v>
      </c>
      <c r="AK41" s="85">
        <v>5.0529999999999999</v>
      </c>
    </row>
    <row r="42" spans="1:53">
      <c r="O42" s="283">
        <v>43410</v>
      </c>
      <c r="P42" s="85">
        <v>101.53100000000001</v>
      </c>
      <c r="Q42" s="85">
        <v>102.74299999999999</v>
      </c>
      <c r="R42" s="85">
        <v>102.137</v>
      </c>
      <c r="S42" s="85">
        <v>5.7940000000000005</v>
      </c>
      <c r="T42" s="85">
        <v>5.6360000000000001</v>
      </c>
      <c r="U42" s="85">
        <v>5.7149999999999999</v>
      </c>
      <c r="W42" s="283">
        <v>43431</v>
      </c>
      <c r="X42" s="85">
        <v>102.331</v>
      </c>
      <c r="Y42" s="85">
        <v>103.467</v>
      </c>
      <c r="Z42" s="85">
        <v>102.899</v>
      </c>
      <c r="AA42" s="85">
        <v>5.6890000000000001</v>
      </c>
      <c r="AB42" s="85">
        <v>5.5419999999999998</v>
      </c>
      <c r="AC42" s="85">
        <v>5.6150000000000002</v>
      </c>
    </row>
    <row r="43" spans="1:53">
      <c r="D43" s="85" t="s">
        <v>127</v>
      </c>
      <c r="O43" s="85" t="s">
        <v>127</v>
      </c>
      <c r="W43" s="85" t="s">
        <v>127</v>
      </c>
      <c r="AE43" s="85" t="s">
        <v>127</v>
      </c>
      <c r="AM43" s="85" t="s">
        <v>127</v>
      </c>
      <c r="AU43" s="85" t="s">
        <v>127</v>
      </c>
    </row>
    <row r="44" spans="1:53">
      <c r="D44" s="85" t="s">
        <v>473</v>
      </c>
      <c r="O44" s="85" t="s">
        <v>473</v>
      </c>
      <c r="W44" s="85" t="s">
        <v>473</v>
      </c>
      <c r="AE44" s="85" t="s">
        <v>473</v>
      </c>
      <c r="AM44" s="85" t="s">
        <v>473</v>
      </c>
      <c r="AU44" s="85" t="s">
        <v>473</v>
      </c>
    </row>
    <row r="45" spans="1:53">
      <c r="E45" s="85" t="s">
        <v>327</v>
      </c>
      <c r="F45" s="85" t="s">
        <v>328</v>
      </c>
      <c r="G45" s="85" t="s">
        <v>329</v>
      </c>
      <c r="H45" s="85" t="s">
        <v>330</v>
      </c>
      <c r="I45" s="85" t="s">
        <v>331</v>
      </c>
      <c r="J45" s="85" t="s">
        <v>333</v>
      </c>
      <c r="P45" s="85" t="s">
        <v>327</v>
      </c>
      <c r="Q45" s="85" t="s">
        <v>328</v>
      </c>
      <c r="R45" s="85" t="s">
        <v>329</v>
      </c>
      <c r="S45" s="85" t="s">
        <v>330</v>
      </c>
      <c r="T45" s="85" t="s">
        <v>331</v>
      </c>
      <c r="U45" s="85" t="s">
        <v>333</v>
      </c>
      <c r="X45" s="85" t="s">
        <v>327</v>
      </c>
      <c r="Y45" s="85" t="s">
        <v>328</v>
      </c>
      <c r="Z45" s="85" t="s">
        <v>329</v>
      </c>
      <c r="AA45" s="85" t="s">
        <v>330</v>
      </c>
      <c r="AB45" s="85" t="s">
        <v>331</v>
      </c>
      <c r="AC45" s="85" t="s">
        <v>333</v>
      </c>
      <c r="AF45" s="85" t="s">
        <v>327</v>
      </c>
      <c r="AG45" s="85" t="s">
        <v>328</v>
      </c>
      <c r="AH45" s="85" t="s">
        <v>329</v>
      </c>
      <c r="AI45" s="85" t="s">
        <v>330</v>
      </c>
      <c r="AJ45" s="85" t="s">
        <v>331</v>
      </c>
      <c r="AK45" s="85" t="s">
        <v>333</v>
      </c>
      <c r="AN45" s="85" t="s">
        <v>327</v>
      </c>
      <c r="AO45" s="85" t="s">
        <v>328</v>
      </c>
      <c r="AP45" s="85" t="s">
        <v>329</v>
      </c>
      <c r="AQ45" s="85" t="s">
        <v>330</v>
      </c>
      <c r="AR45" s="85" t="s">
        <v>331</v>
      </c>
      <c r="AS45" s="85" t="s">
        <v>333</v>
      </c>
      <c r="AV45" s="85" t="s">
        <v>327</v>
      </c>
      <c r="AW45" s="85" t="s">
        <v>328</v>
      </c>
      <c r="AX45" s="85" t="s">
        <v>329</v>
      </c>
      <c r="AY45" s="85" t="s">
        <v>330</v>
      </c>
      <c r="AZ45" s="85" t="s">
        <v>331</v>
      </c>
      <c r="BA45" s="85" t="s">
        <v>333</v>
      </c>
    </row>
    <row r="46" spans="1:53">
      <c r="D46" s="85" t="s">
        <v>427</v>
      </c>
      <c r="E46" s="85" t="s">
        <v>406</v>
      </c>
      <c r="F46" s="85" t="s">
        <v>408</v>
      </c>
      <c r="G46" s="85" t="s">
        <v>403</v>
      </c>
      <c r="H46" s="85" t="s">
        <v>407</v>
      </c>
      <c r="I46" s="85" t="s">
        <v>409</v>
      </c>
      <c r="J46" s="85" t="s">
        <v>404</v>
      </c>
      <c r="O46" s="85" t="s">
        <v>427</v>
      </c>
      <c r="P46" s="85" t="s">
        <v>406</v>
      </c>
      <c r="Q46" s="85" t="s">
        <v>408</v>
      </c>
      <c r="R46" s="85" t="s">
        <v>403</v>
      </c>
      <c r="S46" s="85" t="s">
        <v>407</v>
      </c>
      <c r="T46" s="85" t="s">
        <v>409</v>
      </c>
      <c r="U46" s="85" t="s">
        <v>404</v>
      </c>
      <c r="W46" s="85" t="s">
        <v>427</v>
      </c>
      <c r="X46" s="85" t="s">
        <v>406</v>
      </c>
      <c r="Y46" s="85" t="s">
        <v>408</v>
      </c>
      <c r="Z46" s="85" t="s">
        <v>403</v>
      </c>
      <c r="AA46" s="85" t="s">
        <v>407</v>
      </c>
      <c r="AB46" s="85" t="s">
        <v>409</v>
      </c>
      <c r="AC46" s="85" t="s">
        <v>404</v>
      </c>
      <c r="AE46" s="85" t="s">
        <v>427</v>
      </c>
      <c r="AF46" s="85" t="s">
        <v>406</v>
      </c>
      <c r="AG46" s="85" t="s">
        <v>408</v>
      </c>
      <c r="AH46" s="85" t="s">
        <v>403</v>
      </c>
      <c r="AI46" s="85" t="s">
        <v>407</v>
      </c>
      <c r="AJ46" s="85" t="s">
        <v>409</v>
      </c>
      <c r="AK46" s="85" t="s">
        <v>404</v>
      </c>
      <c r="AM46" s="85" t="s">
        <v>427</v>
      </c>
      <c r="AN46" s="85" t="s">
        <v>406</v>
      </c>
      <c r="AO46" s="85" t="s">
        <v>408</v>
      </c>
      <c r="AP46" s="85" t="s">
        <v>403</v>
      </c>
      <c r="AQ46" s="85" t="s">
        <v>407</v>
      </c>
      <c r="AR46" s="85" t="s">
        <v>409</v>
      </c>
      <c r="AS46" s="85" t="s">
        <v>404</v>
      </c>
      <c r="AU46" s="85" t="s">
        <v>427</v>
      </c>
      <c r="AV46" s="85" t="s">
        <v>406</v>
      </c>
      <c r="AW46" s="85" t="s">
        <v>408</v>
      </c>
      <c r="AX46" s="85" t="s">
        <v>403</v>
      </c>
      <c r="AY46" s="85" t="s">
        <v>407</v>
      </c>
      <c r="AZ46" s="85" t="s">
        <v>409</v>
      </c>
      <c r="BA46" s="85" t="s">
        <v>404</v>
      </c>
    </row>
    <row r="47" spans="1:53">
      <c r="D47" s="283">
        <v>43628</v>
      </c>
      <c r="E47" s="85">
        <v>107.417</v>
      </c>
      <c r="F47" s="85">
        <v>107.59399999999999</v>
      </c>
      <c r="G47" s="85">
        <v>107.506</v>
      </c>
      <c r="H47" s="85">
        <v>4.9480000000000004</v>
      </c>
      <c r="I47" s="85">
        <v>4.9260000000000002</v>
      </c>
      <c r="J47" s="85">
        <v>4.9370000000000003</v>
      </c>
      <c r="O47" s="283" t="s">
        <v>301</v>
      </c>
      <c r="W47" s="85" t="s">
        <v>301</v>
      </c>
      <c r="AE47" s="283">
        <v>43620</v>
      </c>
      <c r="AF47" s="85">
        <v>106.533</v>
      </c>
      <c r="AG47" s="85">
        <v>106.697</v>
      </c>
      <c r="AH47" s="85">
        <v>106.61499999999999</v>
      </c>
      <c r="AI47" s="85">
        <v>5.0629999999999997</v>
      </c>
      <c r="AJ47" s="85">
        <v>5.0419999999999998</v>
      </c>
      <c r="AK47" s="85">
        <v>5.0529999999999999</v>
      </c>
      <c r="AM47" s="283">
        <v>43626</v>
      </c>
      <c r="AN47" s="85">
        <v>107.31100000000001</v>
      </c>
      <c r="AO47" s="85">
        <v>107.42700000000001</v>
      </c>
      <c r="AP47" s="85">
        <v>107.369</v>
      </c>
      <c r="AQ47" s="85">
        <v>4.9630000000000001</v>
      </c>
      <c r="AR47" s="85">
        <v>4.9480000000000004</v>
      </c>
      <c r="AS47" s="85">
        <v>4.9550000000000001</v>
      </c>
      <c r="AU47" s="283">
        <v>43628</v>
      </c>
      <c r="AV47" s="85">
        <v>107.417</v>
      </c>
      <c r="AW47" s="85">
        <v>107.59399999999999</v>
      </c>
      <c r="AX47" s="85">
        <v>107.506</v>
      </c>
      <c r="AY47" s="85">
        <v>4.9480000000000004</v>
      </c>
      <c r="AZ47" s="85">
        <v>4.9260000000000002</v>
      </c>
      <c r="BA47" s="85">
        <v>4.9370000000000003</v>
      </c>
    </row>
    <row r="48" spans="1:53">
      <c r="D48" s="283">
        <v>43627</v>
      </c>
      <c r="E48" s="85">
        <v>107.194</v>
      </c>
      <c r="F48" s="85">
        <v>107.411</v>
      </c>
      <c r="G48" s="85">
        <v>107.303</v>
      </c>
      <c r="H48" s="85">
        <v>4.9770000000000003</v>
      </c>
      <c r="I48" s="85">
        <v>4.95</v>
      </c>
      <c r="J48" s="85">
        <v>4.9630000000000001</v>
      </c>
      <c r="O48" s="283"/>
      <c r="AE48" s="283">
        <v>43619</v>
      </c>
      <c r="AF48" s="85">
        <v>106.536</v>
      </c>
      <c r="AG48" s="85">
        <v>106.70699999999999</v>
      </c>
      <c r="AH48" s="85">
        <v>106.622</v>
      </c>
      <c r="AI48" s="85">
        <v>5.0629999999999997</v>
      </c>
      <c r="AJ48" s="85">
        <v>5.0410000000000004</v>
      </c>
      <c r="AK48" s="85">
        <v>5.0519999999999996</v>
      </c>
      <c r="AM48" s="283">
        <v>43623</v>
      </c>
      <c r="AN48" s="85">
        <v>107.3</v>
      </c>
      <c r="AO48" s="85">
        <v>107.449</v>
      </c>
      <c r="AP48" s="85">
        <v>107.375</v>
      </c>
      <c r="AQ48" s="85">
        <v>4.9640000000000004</v>
      </c>
      <c r="AR48" s="85">
        <v>4.9450000000000003</v>
      </c>
      <c r="AS48" s="85">
        <v>4.9550000000000001</v>
      </c>
      <c r="AU48" s="283">
        <v>43627</v>
      </c>
      <c r="AV48" s="85">
        <v>107.194</v>
      </c>
      <c r="AW48" s="85">
        <v>107.411</v>
      </c>
      <c r="AX48" s="85">
        <v>107.303</v>
      </c>
      <c r="AY48" s="85">
        <v>4.9770000000000003</v>
      </c>
      <c r="AZ48" s="85">
        <v>4.95</v>
      </c>
      <c r="BA48" s="85">
        <v>4.9630000000000001</v>
      </c>
    </row>
    <row r="49" spans="4:53">
      <c r="O49" s="283"/>
      <c r="AE49" s="283">
        <v>43616</v>
      </c>
      <c r="AF49" s="85">
        <v>106.55800000000001</v>
      </c>
      <c r="AG49" s="85">
        <v>106.721</v>
      </c>
      <c r="AH49" s="85">
        <v>106.64</v>
      </c>
      <c r="AI49" s="85">
        <v>5.0599999999999996</v>
      </c>
      <c r="AJ49" s="85">
        <v>5.0389999999999997</v>
      </c>
      <c r="AK49" s="85">
        <v>5.05</v>
      </c>
      <c r="AM49" s="283">
        <v>43622</v>
      </c>
      <c r="AN49" s="85">
        <v>106.80200000000001</v>
      </c>
      <c r="AO49" s="85">
        <v>107.00700000000001</v>
      </c>
      <c r="AP49" s="85">
        <v>106.905</v>
      </c>
      <c r="AQ49" s="85">
        <v>5.0279999999999996</v>
      </c>
      <c r="AR49" s="85">
        <v>5.0019999999999998</v>
      </c>
      <c r="AS49" s="85">
        <v>5.0149999999999997</v>
      </c>
    </row>
    <row r="50" spans="4:53">
      <c r="D50" s="85" t="s">
        <v>122</v>
      </c>
      <c r="O50" s="85" t="s">
        <v>122</v>
      </c>
      <c r="W50" s="85" t="s">
        <v>122</v>
      </c>
      <c r="AE50" s="85" t="s">
        <v>122</v>
      </c>
      <c r="AM50" s="85" t="s">
        <v>122</v>
      </c>
      <c r="AU50" s="85" t="s">
        <v>122</v>
      </c>
    </row>
    <row r="51" spans="4:53">
      <c r="D51" s="85" t="s">
        <v>474</v>
      </c>
      <c r="O51" s="85" t="s">
        <v>474</v>
      </c>
      <c r="W51" s="85" t="s">
        <v>474</v>
      </c>
      <c r="AE51" s="85" t="s">
        <v>474</v>
      </c>
      <c r="AM51" s="85" t="s">
        <v>474</v>
      </c>
      <c r="AU51" s="85" t="s">
        <v>474</v>
      </c>
    </row>
    <row r="52" spans="4:53">
      <c r="E52" s="85" t="s">
        <v>327</v>
      </c>
      <c r="F52" s="85" t="s">
        <v>328</v>
      </c>
      <c r="G52" s="85" t="s">
        <v>329</v>
      </c>
      <c r="H52" s="85" t="s">
        <v>330</v>
      </c>
      <c r="I52" s="85" t="s">
        <v>331</v>
      </c>
      <c r="J52" s="85" t="s">
        <v>333</v>
      </c>
      <c r="P52" s="85" t="s">
        <v>327</v>
      </c>
      <c r="Q52" s="85" t="s">
        <v>328</v>
      </c>
      <c r="R52" s="85" t="s">
        <v>329</v>
      </c>
      <c r="S52" s="85" t="s">
        <v>330</v>
      </c>
      <c r="T52" s="85" t="s">
        <v>331</v>
      </c>
      <c r="U52" s="85" t="s">
        <v>333</v>
      </c>
      <c r="X52" s="85" t="s">
        <v>327</v>
      </c>
      <c r="Y52" s="85" t="s">
        <v>328</v>
      </c>
      <c r="Z52" s="85" t="s">
        <v>329</v>
      </c>
      <c r="AA52" s="85" t="s">
        <v>330</v>
      </c>
      <c r="AB52" s="85" t="s">
        <v>331</v>
      </c>
      <c r="AC52" s="85" t="s">
        <v>333</v>
      </c>
      <c r="AF52" s="85" t="s">
        <v>327</v>
      </c>
      <c r="AG52" s="85" t="s">
        <v>328</v>
      </c>
      <c r="AH52" s="85" t="s">
        <v>329</v>
      </c>
      <c r="AI52" s="85" t="s">
        <v>330</v>
      </c>
      <c r="AJ52" s="85" t="s">
        <v>331</v>
      </c>
      <c r="AK52" s="85" t="s">
        <v>333</v>
      </c>
      <c r="AN52" s="85" t="s">
        <v>327</v>
      </c>
      <c r="AO52" s="85" t="s">
        <v>328</v>
      </c>
      <c r="AP52" s="85" t="s">
        <v>329</v>
      </c>
      <c r="AQ52" s="85" t="s">
        <v>330</v>
      </c>
      <c r="AR52" s="85" t="s">
        <v>331</v>
      </c>
      <c r="AS52" s="85" t="s">
        <v>333</v>
      </c>
      <c r="AV52" s="85" t="s">
        <v>327</v>
      </c>
      <c r="AW52" s="85" t="s">
        <v>328</v>
      </c>
      <c r="AX52" s="85" t="s">
        <v>329</v>
      </c>
      <c r="AY52" s="85" t="s">
        <v>330</v>
      </c>
      <c r="AZ52" s="85" t="s">
        <v>331</v>
      </c>
      <c r="BA52" s="85" t="s">
        <v>333</v>
      </c>
    </row>
    <row r="53" spans="4:53">
      <c r="D53" s="85" t="s">
        <v>427</v>
      </c>
      <c r="E53" s="85" t="s">
        <v>406</v>
      </c>
      <c r="F53" s="85" t="s">
        <v>408</v>
      </c>
      <c r="G53" s="85" t="s">
        <v>403</v>
      </c>
      <c r="H53" s="85" t="s">
        <v>407</v>
      </c>
      <c r="I53" s="85" t="s">
        <v>409</v>
      </c>
      <c r="J53" s="85" t="s">
        <v>404</v>
      </c>
      <c r="O53" s="85" t="s">
        <v>427</v>
      </c>
      <c r="P53" s="85" t="s">
        <v>406</v>
      </c>
      <c r="Q53" s="85" t="s">
        <v>408</v>
      </c>
      <c r="R53" s="85" t="s">
        <v>403</v>
      </c>
      <c r="S53" s="85" t="s">
        <v>407</v>
      </c>
      <c r="T53" s="85" t="s">
        <v>409</v>
      </c>
      <c r="U53" s="85" t="s">
        <v>404</v>
      </c>
      <c r="W53" s="85" t="s">
        <v>427</v>
      </c>
      <c r="X53" s="85" t="s">
        <v>406</v>
      </c>
      <c r="Y53" s="85" t="s">
        <v>408</v>
      </c>
      <c r="Z53" s="85" t="s">
        <v>403</v>
      </c>
      <c r="AA53" s="85" t="s">
        <v>407</v>
      </c>
      <c r="AB53" s="85" t="s">
        <v>409</v>
      </c>
      <c r="AC53" s="85" t="s">
        <v>404</v>
      </c>
      <c r="AE53" s="85" t="s">
        <v>427</v>
      </c>
      <c r="AF53" s="85" t="s">
        <v>406</v>
      </c>
      <c r="AG53" s="85" t="s">
        <v>408</v>
      </c>
      <c r="AH53" s="85" t="s">
        <v>403</v>
      </c>
      <c r="AI53" s="85" t="s">
        <v>407</v>
      </c>
      <c r="AJ53" s="85" t="s">
        <v>409</v>
      </c>
      <c r="AK53" s="85" t="s">
        <v>404</v>
      </c>
      <c r="AM53" s="85" t="s">
        <v>427</v>
      </c>
      <c r="AN53" s="85" t="s">
        <v>406</v>
      </c>
      <c r="AO53" s="85" t="s">
        <v>408</v>
      </c>
      <c r="AP53" s="85" t="s">
        <v>403</v>
      </c>
      <c r="AQ53" s="85" t="s">
        <v>407</v>
      </c>
      <c r="AR53" s="85" t="s">
        <v>409</v>
      </c>
      <c r="AS53" s="85" t="s">
        <v>404</v>
      </c>
      <c r="AU53" s="85" t="s">
        <v>427</v>
      </c>
      <c r="AV53" s="85" t="s">
        <v>406</v>
      </c>
      <c r="AW53" s="85" t="s">
        <v>408</v>
      </c>
      <c r="AX53" s="85" t="s">
        <v>403</v>
      </c>
      <c r="AY53" s="85" t="s">
        <v>407</v>
      </c>
      <c r="AZ53" s="85" t="s">
        <v>409</v>
      </c>
      <c r="BA53" s="85" t="s">
        <v>404</v>
      </c>
    </row>
    <row r="54" spans="4:53">
      <c r="D54" s="283">
        <v>43629</v>
      </c>
      <c r="E54" s="85">
        <v>115.461</v>
      </c>
      <c r="F54" s="85">
        <v>115.672</v>
      </c>
      <c r="G54" s="85">
        <v>115.566</v>
      </c>
      <c r="H54" s="85">
        <v>5.2050000000000001</v>
      </c>
      <c r="I54" s="85">
        <v>5.1829999999999998</v>
      </c>
      <c r="J54" s="85">
        <v>5.194</v>
      </c>
      <c r="O54" s="283">
        <v>43412</v>
      </c>
      <c r="P54" s="85">
        <v>108.011</v>
      </c>
      <c r="Q54" s="85">
        <v>108.267</v>
      </c>
      <c r="R54" s="85">
        <v>108.139</v>
      </c>
      <c r="S54" s="85">
        <v>6.04</v>
      </c>
      <c r="T54" s="85">
        <v>6.0119999999999996</v>
      </c>
      <c r="U54" s="85">
        <v>6.0259999999999998</v>
      </c>
      <c r="W54" s="283">
        <v>43433</v>
      </c>
      <c r="X54" s="85">
        <v>108.952</v>
      </c>
      <c r="Y54" s="85">
        <v>109.176</v>
      </c>
      <c r="Z54" s="85">
        <v>109.06399999999999</v>
      </c>
      <c r="AA54" s="85">
        <v>5.9350000000000005</v>
      </c>
      <c r="AB54" s="85">
        <v>5.91</v>
      </c>
      <c r="AC54" s="85">
        <v>5.9219999999999997</v>
      </c>
      <c r="AE54" s="283">
        <v>43620</v>
      </c>
      <c r="AF54" s="85">
        <v>113.94799999999999</v>
      </c>
      <c r="AG54" s="85">
        <v>114.095</v>
      </c>
      <c r="AH54" s="85">
        <v>114.02200000000001</v>
      </c>
      <c r="AI54" s="85">
        <v>5.3659999999999997</v>
      </c>
      <c r="AJ54" s="85">
        <v>5.35</v>
      </c>
      <c r="AK54" s="85">
        <v>5.3579999999999997</v>
      </c>
      <c r="AM54" s="283">
        <v>43626</v>
      </c>
      <c r="AN54" s="85">
        <v>115.435</v>
      </c>
      <c r="AO54" s="85">
        <v>115.628</v>
      </c>
      <c r="AP54" s="85">
        <v>115.532</v>
      </c>
      <c r="AQ54" s="85">
        <v>5.2089999999999996</v>
      </c>
      <c r="AR54" s="85">
        <v>5.1890000000000001</v>
      </c>
      <c r="AS54" s="85">
        <v>5.1989999999999998</v>
      </c>
      <c r="AU54" s="283">
        <v>43629</v>
      </c>
      <c r="AV54" s="85">
        <v>115.461</v>
      </c>
      <c r="AW54" s="85">
        <v>115.672</v>
      </c>
      <c r="AX54" s="85">
        <v>115.566</v>
      </c>
      <c r="AY54" s="85">
        <v>5.2050000000000001</v>
      </c>
      <c r="AZ54" s="85">
        <v>5.1829999999999998</v>
      </c>
      <c r="BA54" s="85">
        <v>5.194</v>
      </c>
    </row>
    <row r="55" spans="4:53">
      <c r="D55" s="283">
        <v>43628</v>
      </c>
      <c r="E55" s="85">
        <v>115.288</v>
      </c>
      <c r="F55" s="85">
        <v>115.486</v>
      </c>
      <c r="G55" s="85">
        <v>115.387</v>
      </c>
      <c r="H55" s="85">
        <v>5.2229999999999999</v>
      </c>
      <c r="I55" s="85">
        <v>5.2030000000000003</v>
      </c>
      <c r="J55" s="85">
        <v>5.2130000000000001</v>
      </c>
      <c r="O55" s="283">
        <v>43411</v>
      </c>
      <c r="P55" s="85">
        <v>107.91800000000001</v>
      </c>
      <c r="Q55" s="85">
        <v>108.604</v>
      </c>
      <c r="R55" s="85">
        <v>108.261</v>
      </c>
      <c r="S55" s="85">
        <v>6.05</v>
      </c>
      <c r="T55" s="85">
        <v>5.9749999999999996</v>
      </c>
      <c r="U55" s="85">
        <v>6.0119999999999996</v>
      </c>
      <c r="W55" s="283">
        <v>43432</v>
      </c>
      <c r="X55" s="85">
        <v>108.741</v>
      </c>
      <c r="Y55" s="85">
        <v>108.82</v>
      </c>
      <c r="Z55" s="85">
        <v>108.78</v>
      </c>
      <c r="AA55" s="85">
        <v>5.9580000000000002</v>
      </c>
      <c r="AB55" s="85">
        <v>5.9489999999999998</v>
      </c>
      <c r="AC55" s="85">
        <v>5.9530000000000003</v>
      </c>
      <c r="AE55" s="283">
        <v>43619</v>
      </c>
      <c r="AF55" s="85">
        <v>113.97499999999999</v>
      </c>
      <c r="AG55" s="85">
        <v>114.179</v>
      </c>
      <c r="AH55" s="85">
        <v>114.077</v>
      </c>
      <c r="AI55" s="85">
        <v>5.3629999999999995</v>
      </c>
      <c r="AJ55" s="85">
        <v>5.3419999999999996</v>
      </c>
      <c r="AK55" s="85">
        <v>5.3520000000000003</v>
      </c>
      <c r="AU55" s="283">
        <v>43628</v>
      </c>
      <c r="AV55" s="85">
        <v>115.288</v>
      </c>
      <c r="AW55" s="85">
        <v>115.486</v>
      </c>
      <c r="AX55" s="85">
        <v>115.387</v>
      </c>
      <c r="AY55" s="85">
        <v>5.2229999999999999</v>
      </c>
      <c r="AZ55" s="85">
        <v>5.2030000000000003</v>
      </c>
      <c r="BA55" s="85">
        <v>5.2130000000000001</v>
      </c>
    </row>
    <row r="56" spans="4:53">
      <c r="D56" s="283">
        <v>43627</v>
      </c>
      <c r="E56" s="85">
        <v>115.203</v>
      </c>
      <c r="F56" s="85">
        <v>115.459</v>
      </c>
      <c r="G56" s="85">
        <v>115.331</v>
      </c>
      <c r="H56" s="85">
        <v>5.2329999999999997</v>
      </c>
      <c r="I56" s="85">
        <v>5.2069999999999999</v>
      </c>
      <c r="J56" s="85">
        <v>5.22</v>
      </c>
      <c r="O56" s="283">
        <v>43410</v>
      </c>
      <c r="P56" s="85">
        <v>107.22</v>
      </c>
      <c r="Q56" s="85">
        <v>107.452</v>
      </c>
      <c r="R56" s="85">
        <v>107.336</v>
      </c>
      <c r="S56" s="85">
        <v>6.1269999999999998</v>
      </c>
      <c r="T56" s="85">
        <v>6.1020000000000003</v>
      </c>
      <c r="U56" s="85">
        <v>6.1139999999999999</v>
      </c>
      <c r="W56" s="283">
        <v>43431</v>
      </c>
      <c r="X56" s="85">
        <v>108.69799999999999</v>
      </c>
      <c r="Y56" s="85">
        <v>108.855</v>
      </c>
      <c r="Z56" s="85">
        <v>108.777</v>
      </c>
      <c r="AA56" s="85">
        <v>5.9630000000000001</v>
      </c>
      <c r="AB56" s="85">
        <v>5.9459999999999997</v>
      </c>
      <c r="AC56" s="85">
        <v>5.9539999999999997</v>
      </c>
      <c r="AE56" s="283">
        <v>43616</v>
      </c>
      <c r="AF56" s="85">
        <v>114.089</v>
      </c>
      <c r="AG56" s="85">
        <v>114.285</v>
      </c>
      <c r="AH56" s="85">
        <v>114.187</v>
      </c>
      <c r="AI56" s="85">
        <v>5.351</v>
      </c>
      <c r="AJ56" s="85">
        <v>5.3310000000000004</v>
      </c>
      <c r="AK56" s="85">
        <v>5.3410000000000002</v>
      </c>
      <c r="AU56" s="283">
        <v>43627</v>
      </c>
      <c r="AV56" s="85">
        <v>115.203</v>
      </c>
      <c r="AW56" s="85">
        <v>115.459</v>
      </c>
      <c r="AX56" s="85">
        <v>115.331</v>
      </c>
      <c r="AY56" s="85">
        <v>5.2329999999999997</v>
      </c>
      <c r="AZ56" s="85">
        <v>5.2069999999999999</v>
      </c>
      <c r="BA56" s="85">
        <v>5.22</v>
      </c>
    </row>
    <row r="57" spans="4:53">
      <c r="D57" s="85" t="s">
        <v>123</v>
      </c>
      <c r="O57" s="85" t="s">
        <v>123</v>
      </c>
      <c r="W57" s="85" t="s">
        <v>123</v>
      </c>
      <c r="AE57" s="85" t="s">
        <v>123</v>
      </c>
      <c r="AM57" s="85" t="s">
        <v>123</v>
      </c>
      <c r="AU57" s="85" t="s">
        <v>123</v>
      </c>
    </row>
    <row r="58" spans="4:53">
      <c r="D58" s="85" t="s">
        <v>475</v>
      </c>
      <c r="O58" s="85" t="s">
        <v>475</v>
      </c>
      <c r="W58" s="85" t="s">
        <v>475</v>
      </c>
      <c r="AE58" s="85" t="s">
        <v>475</v>
      </c>
      <c r="AM58" s="85" t="s">
        <v>475</v>
      </c>
      <c r="AU58" s="85" t="s">
        <v>475</v>
      </c>
    </row>
    <row r="59" spans="4:53">
      <c r="E59" s="85" t="s">
        <v>327</v>
      </c>
      <c r="F59" s="85" t="s">
        <v>328</v>
      </c>
      <c r="G59" s="85" t="s">
        <v>329</v>
      </c>
      <c r="H59" s="85" t="s">
        <v>330</v>
      </c>
      <c r="I59" s="85" t="s">
        <v>331</v>
      </c>
      <c r="J59" s="85" t="s">
        <v>333</v>
      </c>
      <c r="P59" s="85" t="s">
        <v>327</v>
      </c>
      <c r="Q59" s="85" t="s">
        <v>328</v>
      </c>
      <c r="R59" s="85" t="s">
        <v>329</v>
      </c>
      <c r="S59" s="85" t="s">
        <v>330</v>
      </c>
      <c r="T59" s="85" t="s">
        <v>331</v>
      </c>
      <c r="U59" s="85" t="s">
        <v>333</v>
      </c>
      <c r="X59" s="85" t="s">
        <v>327</v>
      </c>
      <c r="Y59" s="85" t="s">
        <v>328</v>
      </c>
      <c r="Z59" s="85" t="s">
        <v>329</v>
      </c>
      <c r="AA59" s="85" t="s">
        <v>330</v>
      </c>
      <c r="AB59" s="85" t="s">
        <v>331</v>
      </c>
      <c r="AC59" s="85" t="s">
        <v>333</v>
      </c>
      <c r="AF59" s="85" t="s">
        <v>327</v>
      </c>
      <c r="AG59" s="85" t="s">
        <v>328</v>
      </c>
      <c r="AH59" s="85" t="s">
        <v>329</v>
      </c>
      <c r="AI59" s="85" t="s">
        <v>330</v>
      </c>
      <c r="AJ59" s="85" t="s">
        <v>331</v>
      </c>
      <c r="AK59" s="85" t="s">
        <v>333</v>
      </c>
      <c r="AN59" s="85" t="s">
        <v>327</v>
      </c>
      <c r="AO59" s="85" t="s">
        <v>328</v>
      </c>
      <c r="AP59" s="85" t="s">
        <v>329</v>
      </c>
      <c r="AQ59" s="85" t="s">
        <v>330</v>
      </c>
      <c r="AR59" s="85" t="s">
        <v>331</v>
      </c>
      <c r="AS59" s="85" t="s">
        <v>333</v>
      </c>
      <c r="AV59" s="85" t="s">
        <v>327</v>
      </c>
      <c r="AW59" s="85" t="s">
        <v>328</v>
      </c>
      <c r="AX59" s="85" t="s">
        <v>329</v>
      </c>
      <c r="AY59" s="85" t="s">
        <v>330</v>
      </c>
      <c r="AZ59" s="85" t="s">
        <v>331</v>
      </c>
      <c r="BA59" s="85" t="s">
        <v>333</v>
      </c>
    </row>
    <row r="60" spans="4:53">
      <c r="D60" s="85" t="s">
        <v>427</v>
      </c>
      <c r="E60" s="85" t="s">
        <v>406</v>
      </c>
      <c r="F60" s="85" t="s">
        <v>408</v>
      </c>
      <c r="G60" s="85" t="s">
        <v>403</v>
      </c>
      <c r="H60" s="85" t="s">
        <v>407</v>
      </c>
      <c r="I60" s="85" t="s">
        <v>409</v>
      </c>
      <c r="J60" s="85" t="s">
        <v>404</v>
      </c>
      <c r="O60" s="85" t="s">
        <v>427</v>
      </c>
      <c r="P60" s="85" t="s">
        <v>406</v>
      </c>
      <c r="Q60" s="85" t="s">
        <v>408</v>
      </c>
      <c r="R60" s="85" t="s">
        <v>403</v>
      </c>
      <c r="S60" s="85" t="s">
        <v>407</v>
      </c>
      <c r="T60" s="85" t="s">
        <v>409</v>
      </c>
      <c r="U60" s="85" t="s">
        <v>404</v>
      </c>
      <c r="W60" s="85" t="s">
        <v>427</v>
      </c>
      <c r="X60" s="85" t="s">
        <v>406</v>
      </c>
      <c r="Y60" s="85" t="s">
        <v>408</v>
      </c>
      <c r="Z60" s="85" t="s">
        <v>403</v>
      </c>
      <c r="AA60" s="85" t="s">
        <v>407</v>
      </c>
      <c r="AB60" s="85" t="s">
        <v>409</v>
      </c>
      <c r="AC60" s="85" t="s">
        <v>404</v>
      </c>
      <c r="AE60" s="85" t="s">
        <v>427</v>
      </c>
      <c r="AF60" s="85" t="s">
        <v>406</v>
      </c>
      <c r="AG60" s="85" t="s">
        <v>408</v>
      </c>
      <c r="AH60" s="85" t="s">
        <v>403</v>
      </c>
      <c r="AI60" s="85" t="s">
        <v>407</v>
      </c>
      <c r="AJ60" s="85" t="s">
        <v>409</v>
      </c>
      <c r="AK60" s="85" t="s">
        <v>404</v>
      </c>
      <c r="AM60" s="85" t="s">
        <v>427</v>
      </c>
      <c r="AN60" s="85" t="s">
        <v>406</v>
      </c>
      <c r="AO60" s="85" t="s">
        <v>408</v>
      </c>
      <c r="AP60" s="85" t="s">
        <v>403</v>
      </c>
      <c r="AQ60" s="85" t="s">
        <v>407</v>
      </c>
      <c r="AR60" s="85" t="s">
        <v>409</v>
      </c>
      <c r="AS60" s="85" t="s">
        <v>404</v>
      </c>
      <c r="AU60" s="85" t="s">
        <v>427</v>
      </c>
      <c r="AV60" s="85" t="s">
        <v>406</v>
      </c>
      <c r="AW60" s="85" t="s">
        <v>408</v>
      </c>
      <c r="AX60" s="85" t="s">
        <v>403</v>
      </c>
      <c r="AY60" s="85" t="s">
        <v>407</v>
      </c>
      <c r="AZ60" s="85" t="s">
        <v>409</v>
      </c>
      <c r="BA60" s="85" t="s">
        <v>404</v>
      </c>
    </row>
    <row r="61" spans="4:53">
      <c r="D61" s="283">
        <v>43629</v>
      </c>
      <c r="E61" s="85">
        <v>107.833</v>
      </c>
      <c r="F61" s="85">
        <v>108.133</v>
      </c>
      <c r="G61" s="85">
        <v>107.983</v>
      </c>
      <c r="H61" s="85">
        <v>5.3040000000000003</v>
      </c>
      <c r="I61" s="85">
        <v>5.274</v>
      </c>
      <c r="J61" s="85">
        <v>5.2889999999999997</v>
      </c>
      <c r="O61" s="283">
        <v>43412</v>
      </c>
      <c r="P61" s="85">
        <v>100.48</v>
      </c>
      <c r="Q61" s="85">
        <v>100.73</v>
      </c>
      <c r="R61" s="85">
        <v>100.605</v>
      </c>
      <c r="S61" s="85">
        <v>6.0979999999999999</v>
      </c>
      <c r="T61" s="85">
        <v>6.0709999999999997</v>
      </c>
      <c r="U61" s="85">
        <v>6.0839999999999996</v>
      </c>
      <c r="W61" s="283">
        <v>43433</v>
      </c>
      <c r="X61" s="85">
        <v>101.657</v>
      </c>
      <c r="Y61" s="85">
        <v>101.80800000000001</v>
      </c>
      <c r="Z61" s="85">
        <v>101.733</v>
      </c>
      <c r="AA61" s="85">
        <v>5.97</v>
      </c>
      <c r="AB61" s="85">
        <v>5.9530000000000003</v>
      </c>
      <c r="AC61" s="85">
        <v>5.9619999999999997</v>
      </c>
      <c r="AE61" s="283">
        <v>43620</v>
      </c>
      <c r="AF61" s="85">
        <v>106.389</v>
      </c>
      <c r="AG61" s="85">
        <v>106.529</v>
      </c>
      <c r="AH61" s="85">
        <v>106.459</v>
      </c>
      <c r="AI61" s="85">
        <v>5.4550000000000001</v>
      </c>
      <c r="AJ61" s="85">
        <v>5.44</v>
      </c>
      <c r="AK61" s="85">
        <v>5.4480000000000004</v>
      </c>
      <c r="AM61" s="283">
        <v>43626</v>
      </c>
      <c r="AN61" s="85">
        <v>107.008</v>
      </c>
      <c r="AO61" s="85">
        <v>107.55200000000001</v>
      </c>
      <c r="AP61" s="85">
        <v>107.28</v>
      </c>
      <c r="AQ61" s="85">
        <v>5.39</v>
      </c>
      <c r="AR61" s="85">
        <v>5.3339999999999996</v>
      </c>
      <c r="AS61" s="85">
        <v>5.3620000000000001</v>
      </c>
      <c r="AU61" s="283">
        <v>43629</v>
      </c>
      <c r="AV61" s="85">
        <v>107.833</v>
      </c>
      <c r="AW61" s="85">
        <v>108.133</v>
      </c>
      <c r="AX61" s="85">
        <v>107.983</v>
      </c>
      <c r="AY61" s="85">
        <v>5.3040000000000003</v>
      </c>
      <c r="AZ61" s="85">
        <v>5.274</v>
      </c>
      <c r="BA61" s="85">
        <v>5.2889999999999997</v>
      </c>
    </row>
    <row r="62" spans="4:53">
      <c r="D62" s="283">
        <v>43628</v>
      </c>
      <c r="E62" s="85">
        <v>107.482</v>
      </c>
      <c r="F62" s="85">
        <v>107.824</v>
      </c>
      <c r="G62" s="85">
        <v>107.65300000000001</v>
      </c>
      <c r="H62" s="85">
        <v>5.3410000000000002</v>
      </c>
      <c r="I62" s="85">
        <v>5.3049999999999997</v>
      </c>
      <c r="J62" s="85">
        <v>5.3230000000000004</v>
      </c>
      <c r="O62" s="283">
        <v>43411</v>
      </c>
      <c r="P62" s="85">
        <v>100.182</v>
      </c>
      <c r="Q62" s="85">
        <v>100.23399999999999</v>
      </c>
      <c r="R62" s="85">
        <v>100.208</v>
      </c>
      <c r="S62" s="85">
        <v>6.1310000000000002</v>
      </c>
      <c r="T62" s="85">
        <v>6.125</v>
      </c>
      <c r="U62" s="85">
        <v>6.1280000000000001</v>
      </c>
      <c r="W62" s="283">
        <v>43432</v>
      </c>
      <c r="X62" s="85">
        <v>101.40900000000001</v>
      </c>
      <c r="Y62" s="85">
        <v>101.536</v>
      </c>
      <c r="Z62" s="85">
        <v>101.473</v>
      </c>
      <c r="AA62" s="85">
        <v>5.9969999999999999</v>
      </c>
      <c r="AB62" s="85">
        <v>5.9829999999999997</v>
      </c>
      <c r="AC62" s="85">
        <v>5.99</v>
      </c>
      <c r="AE62" s="283">
        <v>43619</v>
      </c>
      <c r="AF62" s="85">
        <v>106.419</v>
      </c>
      <c r="AG62" s="85">
        <v>106.574</v>
      </c>
      <c r="AH62" s="85">
        <v>106.497</v>
      </c>
      <c r="AI62" s="85">
        <v>5.452</v>
      </c>
      <c r="AJ62" s="85">
        <v>5.4359999999999999</v>
      </c>
      <c r="AK62" s="85">
        <v>5.444</v>
      </c>
      <c r="AM62" s="283">
        <v>43623</v>
      </c>
      <c r="AN62" s="85">
        <v>107.53100000000001</v>
      </c>
      <c r="AO62" s="85">
        <v>107.794</v>
      </c>
      <c r="AP62" s="85">
        <v>107.663</v>
      </c>
      <c r="AQ62" s="85">
        <v>5.3360000000000003</v>
      </c>
      <c r="AR62" s="85">
        <v>5.3090000000000002</v>
      </c>
      <c r="AS62" s="85">
        <v>5.3230000000000004</v>
      </c>
      <c r="AU62" s="283">
        <v>43628</v>
      </c>
      <c r="AV62" s="85">
        <v>107.482</v>
      </c>
      <c r="AW62" s="85">
        <v>107.824</v>
      </c>
      <c r="AX62" s="85">
        <v>107.65300000000001</v>
      </c>
      <c r="AY62" s="85">
        <v>5.3410000000000002</v>
      </c>
      <c r="AZ62" s="85">
        <v>5.3049999999999997</v>
      </c>
      <c r="BA62" s="85">
        <v>5.3230000000000004</v>
      </c>
    </row>
    <row r="63" spans="4:53">
      <c r="D63" s="283">
        <v>43627</v>
      </c>
      <c r="E63" s="85">
        <v>107.03100000000001</v>
      </c>
      <c r="F63" s="85">
        <v>107.422</v>
      </c>
      <c r="G63" s="85">
        <v>107.227</v>
      </c>
      <c r="H63" s="85">
        <v>5.3879999999999999</v>
      </c>
      <c r="I63" s="85">
        <v>5.3469999999999995</v>
      </c>
      <c r="J63" s="85">
        <v>5.367</v>
      </c>
      <c r="O63" s="283">
        <v>43410</v>
      </c>
      <c r="P63" s="85">
        <v>99.661000000000001</v>
      </c>
      <c r="Q63" s="85">
        <v>99.834999999999994</v>
      </c>
      <c r="R63" s="85">
        <v>99.748000000000005</v>
      </c>
      <c r="S63" s="85">
        <v>6.1879999999999997</v>
      </c>
      <c r="T63" s="85">
        <v>6.1689999999999996</v>
      </c>
      <c r="U63" s="85">
        <v>6.1790000000000003</v>
      </c>
      <c r="W63" s="283">
        <v>43431</v>
      </c>
      <c r="X63" s="85">
        <v>101.371</v>
      </c>
      <c r="Y63" s="85">
        <v>101.613</v>
      </c>
      <c r="Z63" s="85">
        <v>101.492</v>
      </c>
      <c r="AA63" s="85">
        <v>6.0010000000000003</v>
      </c>
      <c r="AB63" s="85">
        <v>5.9749999999999996</v>
      </c>
      <c r="AC63" s="85">
        <v>5.9879999999999995</v>
      </c>
      <c r="AE63" s="283">
        <v>43616</v>
      </c>
      <c r="AF63" s="85">
        <v>106.452</v>
      </c>
      <c r="AG63" s="85">
        <v>106.746</v>
      </c>
      <c r="AH63" s="85">
        <v>106.599</v>
      </c>
      <c r="AI63" s="85">
        <v>5.4489999999999998</v>
      </c>
      <c r="AJ63" s="85">
        <v>5.4180000000000001</v>
      </c>
      <c r="AK63" s="85">
        <v>5.4329999999999998</v>
      </c>
      <c r="AM63" s="283">
        <v>43622</v>
      </c>
      <c r="AN63" s="85">
        <v>106.77</v>
      </c>
      <c r="AO63" s="85">
        <v>107.093</v>
      </c>
      <c r="AP63" s="85">
        <v>106.932</v>
      </c>
      <c r="AQ63" s="85">
        <v>5.415</v>
      </c>
      <c r="AR63" s="85">
        <v>5.3810000000000002</v>
      </c>
      <c r="AS63" s="85">
        <v>5.3979999999999997</v>
      </c>
      <c r="AU63" s="283">
        <v>43627</v>
      </c>
      <c r="AV63" s="85">
        <v>107.03100000000001</v>
      </c>
      <c r="AW63" s="85">
        <v>107.422</v>
      </c>
      <c r="AX63" s="85">
        <v>107.227</v>
      </c>
      <c r="AY63" s="85">
        <v>5.3879999999999999</v>
      </c>
      <c r="AZ63" s="85">
        <v>5.3469999999999995</v>
      </c>
      <c r="BA63" s="85">
        <v>5.367</v>
      </c>
    </row>
    <row r="64" spans="4:53">
      <c r="D64" s="85" t="s">
        <v>124</v>
      </c>
      <c r="O64" s="85" t="s">
        <v>124</v>
      </c>
      <c r="W64" s="85" t="s">
        <v>124</v>
      </c>
      <c r="AE64" s="85" t="s">
        <v>124</v>
      </c>
      <c r="AM64" s="85" t="s">
        <v>124</v>
      </c>
      <c r="AU64" s="85" t="s">
        <v>124</v>
      </c>
    </row>
    <row r="65" spans="4:53">
      <c r="D65" s="85" t="s">
        <v>476</v>
      </c>
      <c r="O65" s="85" t="s">
        <v>476</v>
      </c>
      <c r="W65" s="85" t="s">
        <v>476</v>
      </c>
      <c r="AE65" s="85" t="s">
        <v>476</v>
      </c>
      <c r="AM65" s="85" t="s">
        <v>476</v>
      </c>
      <c r="AU65" s="85" t="s">
        <v>476</v>
      </c>
    </row>
    <row r="66" spans="4:53">
      <c r="E66" s="85" t="s">
        <v>327</v>
      </c>
      <c r="F66" s="85" t="s">
        <v>328</v>
      </c>
      <c r="G66" s="85" t="s">
        <v>329</v>
      </c>
      <c r="H66" s="85" t="s">
        <v>330</v>
      </c>
      <c r="I66" s="85" t="s">
        <v>331</v>
      </c>
      <c r="J66" s="85" t="s">
        <v>333</v>
      </c>
      <c r="P66" s="85" t="s">
        <v>327</v>
      </c>
      <c r="Q66" s="85" t="s">
        <v>328</v>
      </c>
      <c r="R66" s="85" t="s">
        <v>329</v>
      </c>
      <c r="S66" s="85" t="s">
        <v>330</v>
      </c>
      <c r="T66" s="85" t="s">
        <v>331</v>
      </c>
      <c r="U66" s="85" t="s">
        <v>333</v>
      </c>
      <c r="X66" s="85" t="s">
        <v>327</v>
      </c>
      <c r="Y66" s="85" t="s">
        <v>328</v>
      </c>
      <c r="Z66" s="85" t="s">
        <v>329</v>
      </c>
      <c r="AA66" s="85" t="s">
        <v>330</v>
      </c>
      <c r="AB66" s="85" t="s">
        <v>331</v>
      </c>
      <c r="AC66" s="85" t="s">
        <v>333</v>
      </c>
      <c r="AF66" s="85" t="s">
        <v>327</v>
      </c>
      <c r="AG66" s="85" t="s">
        <v>328</v>
      </c>
      <c r="AH66" s="85" t="s">
        <v>329</v>
      </c>
      <c r="AI66" s="85" t="s">
        <v>330</v>
      </c>
      <c r="AJ66" s="85" t="s">
        <v>331</v>
      </c>
      <c r="AK66" s="85" t="s">
        <v>333</v>
      </c>
      <c r="AN66" s="85" t="s">
        <v>327</v>
      </c>
      <c r="AO66" s="85" t="s">
        <v>328</v>
      </c>
      <c r="AP66" s="85" t="s">
        <v>329</v>
      </c>
      <c r="AQ66" s="85" t="s">
        <v>330</v>
      </c>
      <c r="AR66" s="85" t="s">
        <v>331</v>
      </c>
      <c r="AS66" s="85" t="s">
        <v>333</v>
      </c>
      <c r="AV66" s="85" t="s">
        <v>327</v>
      </c>
      <c r="AW66" s="85" t="s">
        <v>328</v>
      </c>
      <c r="AX66" s="85" t="s">
        <v>329</v>
      </c>
      <c r="AY66" s="85" t="s">
        <v>330</v>
      </c>
      <c r="AZ66" s="85" t="s">
        <v>331</v>
      </c>
      <c r="BA66" s="85" t="s">
        <v>333</v>
      </c>
    </row>
    <row r="67" spans="4:53">
      <c r="D67" s="85" t="s">
        <v>427</v>
      </c>
      <c r="E67" s="85" t="s">
        <v>406</v>
      </c>
      <c r="F67" s="85" t="s">
        <v>408</v>
      </c>
      <c r="G67" s="85" t="s">
        <v>403</v>
      </c>
      <c r="H67" s="85" t="s">
        <v>407</v>
      </c>
      <c r="I67" s="85" t="s">
        <v>409</v>
      </c>
      <c r="J67" s="85" t="s">
        <v>404</v>
      </c>
      <c r="O67" s="85" t="s">
        <v>427</v>
      </c>
      <c r="P67" s="85" t="s">
        <v>406</v>
      </c>
      <c r="Q67" s="85" t="s">
        <v>408</v>
      </c>
      <c r="R67" s="85" t="s">
        <v>403</v>
      </c>
      <c r="S67" s="85" t="s">
        <v>407</v>
      </c>
      <c r="T67" s="85" t="s">
        <v>409</v>
      </c>
      <c r="U67" s="85" t="s">
        <v>404</v>
      </c>
      <c r="W67" s="85" t="s">
        <v>427</v>
      </c>
      <c r="X67" s="85" t="s">
        <v>406</v>
      </c>
      <c r="Y67" s="85" t="s">
        <v>408</v>
      </c>
      <c r="Z67" s="85" t="s">
        <v>403</v>
      </c>
      <c r="AA67" s="85" t="s">
        <v>407</v>
      </c>
      <c r="AB67" s="85" t="s">
        <v>409</v>
      </c>
      <c r="AC67" s="85" t="s">
        <v>404</v>
      </c>
      <c r="AE67" s="85" t="s">
        <v>427</v>
      </c>
      <c r="AF67" s="85" t="s">
        <v>406</v>
      </c>
      <c r="AG67" s="85" t="s">
        <v>408</v>
      </c>
      <c r="AH67" s="85" t="s">
        <v>403</v>
      </c>
      <c r="AI67" s="85" t="s">
        <v>407</v>
      </c>
      <c r="AJ67" s="85" t="s">
        <v>409</v>
      </c>
      <c r="AK67" s="85" t="s">
        <v>404</v>
      </c>
      <c r="AM67" s="85" t="s">
        <v>427</v>
      </c>
      <c r="AN67" s="85" t="s">
        <v>406</v>
      </c>
      <c r="AO67" s="85" t="s">
        <v>408</v>
      </c>
      <c r="AP67" s="85" t="s">
        <v>403</v>
      </c>
      <c r="AQ67" s="85" t="s">
        <v>407</v>
      </c>
      <c r="AR67" s="85" t="s">
        <v>409</v>
      </c>
      <c r="AS67" s="85" t="s">
        <v>404</v>
      </c>
      <c r="AU67" s="85" t="s">
        <v>427</v>
      </c>
      <c r="AV67" s="85" t="s">
        <v>406</v>
      </c>
      <c r="AW67" s="85" t="s">
        <v>408</v>
      </c>
      <c r="AX67" s="85" t="s">
        <v>403</v>
      </c>
      <c r="AY67" s="85" t="s">
        <v>407</v>
      </c>
      <c r="AZ67" s="85" t="s">
        <v>409</v>
      </c>
      <c r="BA67" s="85" t="s">
        <v>404</v>
      </c>
    </row>
    <row r="68" spans="4:53">
      <c r="D68" s="283">
        <v>43629</v>
      </c>
      <c r="E68" s="85">
        <v>114.976</v>
      </c>
      <c r="F68" s="85">
        <v>115.34</v>
      </c>
      <c r="G68" s="85">
        <v>115.158</v>
      </c>
      <c r="H68" s="85">
        <v>5.57</v>
      </c>
      <c r="I68" s="85">
        <v>5.5410000000000004</v>
      </c>
      <c r="J68" s="85">
        <v>5.556</v>
      </c>
      <c r="O68" s="283">
        <v>43412</v>
      </c>
      <c r="P68" s="85">
        <v>105.621</v>
      </c>
      <c r="Q68" s="85">
        <v>105.983</v>
      </c>
      <c r="R68" s="85">
        <v>105.80200000000001</v>
      </c>
      <c r="S68" s="85">
        <v>6.3860000000000001</v>
      </c>
      <c r="T68" s="85">
        <v>6.3540000000000001</v>
      </c>
      <c r="U68" s="85">
        <v>6.37</v>
      </c>
      <c r="W68" s="283">
        <v>43433</v>
      </c>
      <c r="X68" s="85">
        <v>106.56</v>
      </c>
      <c r="Y68" s="85">
        <v>106.994</v>
      </c>
      <c r="Z68" s="85">
        <v>106.777</v>
      </c>
      <c r="AA68" s="85">
        <v>6.3019999999999996</v>
      </c>
      <c r="AB68" s="85">
        <v>6.2629999999999999</v>
      </c>
      <c r="AC68" s="85">
        <v>6.282</v>
      </c>
      <c r="AE68" s="283">
        <v>43620</v>
      </c>
      <c r="AF68" s="85">
        <v>112.774</v>
      </c>
      <c r="AG68" s="85">
        <v>113.102</v>
      </c>
      <c r="AH68" s="85">
        <v>112.938</v>
      </c>
      <c r="AI68" s="85">
        <v>5.7530000000000001</v>
      </c>
      <c r="AJ68" s="85">
        <v>5.7249999999999996</v>
      </c>
      <c r="AK68" s="85">
        <v>5.7389999999999999</v>
      </c>
      <c r="AM68" s="283">
        <v>43626</v>
      </c>
      <c r="AN68" s="85">
        <v>114.809</v>
      </c>
      <c r="AO68" s="85">
        <v>115.011</v>
      </c>
      <c r="AP68" s="85">
        <v>114.91</v>
      </c>
      <c r="AQ68" s="85">
        <v>5.585</v>
      </c>
      <c r="AR68" s="85">
        <v>5.5679999999999996</v>
      </c>
      <c r="AS68" s="85">
        <v>5.5759999999999996</v>
      </c>
      <c r="AU68" s="283">
        <v>43629</v>
      </c>
      <c r="AV68" s="85">
        <v>114.976</v>
      </c>
      <c r="AW68" s="85">
        <v>115.34</v>
      </c>
      <c r="AX68" s="85">
        <v>115.158</v>
      </c>
      <c r="AY68" s="85">
        <v>5.57</v>
      </c>
      <c r="AZ68" s="85">
        <v>5.5410000000000004</v>
      </c>
      <c r="BA68" s="85">
        <v>5.556</v>
      </c>
    </row>
    <row r="69" spans="4:53">
      <c r="D69" s="283">
        <v>43628</v>
      </c>
      <c r="E69" s="85">
        <v>114.748</v>
      </c>
      <c r="F69" s="85">
        <v>115.093</v>
      </c>
      <c r="G69" s="85">
        <v>114.92100000000001</v>
      </c>
      <c r="H69" s="85">
        <v>5.5890000000000004</v>
      </c>
      <c r="I69" s="85">
        <v>5.5609999999999999</v>
      </c>
      <c r="J69" s="85">
        <v>5.5750000000000002</v>
      </c>
      <c r="O69" s="283">
        <v>43411</v>
      </c>
      <c r="P69" s="85">
        <v>106.056</v>
      </c>
      <c r="Q69" s="85">
        <v>106.92400000000001</v>
      </c>
      <c r="R69" s="85">
        <v>106.49</v>
      </c>
      <c r="S69" s="85">
        <v>6.3469999999999995</v>
      </c>
      <c r="T69" s="85">
        <v>6.27</v>
      </c>
      <c r="U69" s="85">
        <v>6.3079999999999998</v>
      </c>
      <c r="W69" s="283">
        <v>43432</v>
      </c>
      <c r="X69" s="85">
        <v>106.80200000000001</v>
      </c>
      <c r="Y69" s="85">
        <v>107.221</v>
      </c>
      <c r="Z69" s="85">
        <v>107.012</v>
      </c>
      <c r="AA69" s="85">
        <v>6.28</v>
      </c>
      <c r="AB69" s="85">
        <v>6.2430000000000003</v>
      </c>
      <c r="AC69" s="85">
        <v>6.2610000000000001</v>
      </c>
      <c r="AE69" s="283">
        <v>43619</v>
      </c>
      <c r="AF69" s="85">
        <v>112.747</v>
      </c>
      <c r="AG69" s="85">
        <v>112.97</v>
      </c>
      <c r="AH69" s="85">
        <v>112.858</v>
      </c>
      <c r="AI69" s="85">
        <v>5.7549999999999999</v>
      </c>
      <c r="AJ69" s="85">
        <v>5.7370000000000001</v>
      </c>
      <c r="AK69" s="85">
        <v>5.7460000000000004</v>
      </c>
      <c r="AU69" s="283">
        <v>43628</v>
      </c>
      <c r="AV69" s="85">
        <v>114.748</v>
      </c>
      <c r="AW69" s="85">
        <v>115.093</v>
      </c>
      <c r="AX69" s="85">
        <v>114.92100000000001</v>
      </c>
      <c r="AY69" s="85">
        <v>5.5890000000000004</v>
      </c>
      <c r="AZ69" s="85">
        <v>5.5609999999999999</v>
      </c>
      <c r="BA69" s="85">
        <v>5.5750000000000002</v>
      </c>
    </row>
    <row r="70" spans="4:53">
      <c r="O70" s="283">
        <v>43410</v>
      </c>
      <c r="P70" s="85">
        <v>104.747</v>
      </c>
      <c r="Q70" s="85">
        <v>105.16200000000001</v>
      </c>
      <c r="R70" s="85">
        <v>104.955</v>
      </c>
      <c r="S70" s="85">
        <v>6.4660000000000002</v>
      </c>
      <c r="T70" s="85">
        <v>6.4279999999999999</v>
      </c>
      <c r="U70" s="85">
        <v>6.4470000000000001</v>
      </c>
      <c r="W70" s="283">
        <v>43431</v>
      </c>
      <c r="X70" s="85">
        <v>106.611</v>
      </c>
      <c r="Y70" s="85">
        <v>106.986</v>
      </c>
      <c r="Z70" s="85">
        <v>106.79900000000001</v>
      </c>
      <c r="AA70" s="85">
        <v>6.2969999999999997</v>
      </c>
      <c r="AB70" s="85">
        <v>6.2640000000000002</v>
      </c>
      <c r="AC70" s="85">
        <v>6.28</v>
      </c>
      <c r="AE70" s="283">
        <v>43616</v>
      </c>
      <c r="AF70" s="85">
        <v>112.75</v>
      </c>
      <c r="AG70" s="85">
        <v>113.069</v>
      </c>
      <c r="AH70" s="85">
        <v>112.91</v>
      </c>
      <c r="AI70" s="85">
        <v>5.7549999999999999</v>
      </c>
      <c r="AJ70" s="85">
        <v>5.7279999999999998</v>
      </c>
      <c r="AK70" s="85">
        <v>5.742</v>
      </c>
    </row>
    <row r="71" spans="4:53">
      <c r="D71" s="85" t="s">
        <v>125</v>
      </c>
      <c r="O71" s="85" t="s">
        <v>125</v>
      </c>
      <c r="W71" s="85" t="s">
        <v>125</v>
      </c>
      <c r="AE71" s="85" t="s">
        <v>125</v>
      </c>
      <c r="AM71" s="85" t="s">
        <v>125</v>
      </c>
      <c r="AU71" s="85" t="s">
        <v>125</v>
      </c>
    </row>
    <row r="72" spans="4:53">
      <c r="D72" s="85" t="s">
        <v>477</v>
      </c>
      <c r="O72" s="85" t="s">
        <v>477</v>
      </c>
      <c r="W72" s="85" t="s">
        <v>477</v>
      </c>
      <c r="AE72" s="85" t="s">
        <v>477</v>
      </c>
      <c r="AM72" s="85" t="s">
        <v>477</v>
      </c>
      <c r="AU72" s="85" t="s">
        <v>477</v>
      </c>
    </row>
    <row r="73" spans="4:53">
      <c r="E73" s="85" t="s">
        <v>327</v>
      </c>
      <c r="F73" s="85" t="s">
        <v>328</v>
      </c>
      <c r="G73" s="85" t="s">
        <v>329</v>
      </c>
      <c r="H73" s="85" t="s">
        <v>330</v>
      </c>
      <c r="I73" s="85" t="s">
        <v>331</v>
      </c>
      <c r="J73" s="85" t="s">
        <v>333</v>
      </c>
      <c r="P73" s="85" t="s">
        <v>327</v>
      </c>
      <c r="Q73" s="85" t="s">
        <v>328</v>
      </c>
      <c r="R73" s="85" t="s">
        <v>329</v>
      </c>
      <c r="S73" s="85" t="s">
        <v>330</v>
      </c>
      <c r="T73" s="85" t="s">
        <v>331</v>
      </c>
      <c r="U73" s="85" t="s">
        <v>333</v>
      </c>
      <c r="X73" s="85" t="s">
        <v>327</v>
      </c>
      <c r="Y73" s="85" t="s">
        <v>328</v>
      </c>
      <c r="Z73" s="85" t="s">
        <v>329</v>
      </c>
      <c r="AA73" s="85" t="s">
        <v>330</v>
      </c>
      <c r="AB73" s="85" t="s">
        <v>331</v>
      </c>
      <c r="AC73" s="85" t="s">
        <v>333</v>
      </c>
      <c r="AF73" s="85" t="s">
        <v>327</v>
      </c>
      <c r="AG73" s="85" t="s">
        <v>328</v>
      </c>
      <c r="AH73" s="85" t="s">
        <v>329</v>
      </c>
      <c r="AI73" s="85" t="s">
        <v>330</v>
      </c>
      <c r="AJ73" s="85" t="s">
        <v>331</v>
      </c>
      <c r="AK73" s="85" t="s">
        <v>333</v>
      </c>
      <c r="AN73" s="85" t="s">
        <v>327</v>
      </c>
      <c r="AO73" s="85" t="s">
        <v>328</v>
      </c>
      <c r="AP73" s="85" t="s">
        <v>329</v>
      </c>
      <c r="AQ73" s="85" t="s">
        <v>330</v>
      </c>
      <c r="AR73" s="85" t="s">
        <v>331</v>
      </c>
      <c r="AS73" s="85" t="s">
        <v>333</v>
      </c>
      <c r="AV73" s="85" t="s">
        <v>327</v>
      </c>
      <c r="AW73" s="85" t="s">
        <v>328</v>
      </c>
      <c r="AX73" s="85" t="s">
        <v>329</v>
      </c>
      <c r="AY73" s="85" t="s">
        <v>330</v>
      </c>
      <c r="AZ73" s="85" t="s">
        <v>331</v>
      </c>
      <c r="BA73" s="85" t="s">
        <v>333</v>
      </c>
    </row>
    <row r="74" spans="4:53">
      <c r="D74" s="85" t="s">
        <v>427</v>
      </c>
      <c r="E74" s="85" t="s">
        <v>406</v>
      </c>
      <c r="F74" s="85" t="s">
        <v>408</v>
      </c>
      <c r="G74" s="85" t="s">
        <v>403</v>
      </c>
      <c r="H74" s="85" t="s">
        <v>407</v>
      </c>
      <c r="I74" s="85" t="s">
        <v>409</v>
      </c>
      <c r="J74" s="85" t="s">
        <v>404</v>
      </c>
      <c r="O74" s="85" t="s">
        <v>427</v>
      </c>
      <c r="P74" s="85" t="s">
        <v>406</v>
      </c>
      <c r="Q74" s="85" t="s">
        <v>408</v>
      </c>
      <c r="R74" s="85" t="s">
        <v>403</v>
      </c>
      <c r="S74" s="85" t="s">
        <v>407</v>
      </c>
      <c r="T74" s="85" t="s">
        <v>409</v>
      </c>
      <c r="U74" s="85" t="s">
        <v>404</v>
      </c>
      <c r="W74" s="85" t="s">
        <v>427</v>
      </c>
      <c r="X74" s="85" t="s">
        <v>406</v>
      </c>
      <c r="Y74" s="85" t="s">
        <v>408</v>
      </c>
      <c r="Z74" s="85" t="s">
        <v>403</v>
      </c>
      <c r="AA74" s="85" t="s">
        <v>407</v>
      </c>
      <c r="AB74" s="85" t="s">
        <v>409</v>
      </c>
      <c r="AC74" s="85" t="s">
        <v>404</v>
      </c>
      <c r="AE74" s="85" t="s">
        <v>427</v>
      </c>
      <c r="AF74" s="85" t="s">
        <v>406</v>
      </c>
      <c r="AG74" s="85" t="s">
        <v>408</v>
      </c>
      <c r="AH74" s="85" t="s">
        <v>403</v>
      </c>
      <c r="AI74" s="85" t="s">
        <v>407</v>
      </c>
      <c r="AJ74" s="85" t="s">
        <v>409</v>
      </c>
      <c r="AK74" s="85" t="s">
        <v>404</v>
      </c>
      <c r="AM74" s="85" t="s">
        <v>427</v>
      </c>
      <c r="AN74" s="85" t="s">
        <v>406</v>
      </c>
      <c r="AO74" s="85" t="s">
        <v>408</v>
      </c>
      <c r="AP74" s="85" t="s">
        <v>403</v>
      </c>
      <c r="AQ74" s="85" t="s">
        <v>407</v>
      </c>
      <c r="AR74" s="85" t="s">
        <v>409</v>
      </c>
      <c r="AS74" s="85" t="s">
        <v>404</v>
      </c>
      <c r="AU74" s="85" t="s">
        <v>427</v>
      </c>
      <c r="AV74" s="85" t="s">
        <v>406</v>
      </c>
      <c r="AW74" s="85" t="s">
        <v>408</v>
      </c>
      <c r="AX74" s="85" t="s">
        <v>403</v>
      </c>
      <c r="AY74" s="85" t="s">
        <v>407</v>
      </c>
      <c r="AZ74" s="85" t="s">
        <v>409</v>
      </c>
      <c r="BA74" s="85" t="s">
        <v>404</v>
      </c>
    </row>
    <row r="75" spans="4:53">
      <c r="D75" s="283">
        <v>43628</v>
      </c>
      <c r="E75" s="85">
        <v>113.536</v>
      </c>
      <c r="F75" s="85">
        <v>114.378</v>
      </c>
      <c r="G75" s="85">
        <v>113.95699999999999</v>
      </c>
      <c r="H75" s="85">
        <v>5.7670000000000003</v>
      </c>
      <c r="I75" s="85">
        <v>5.7050000000000001</v>
      </c>
      <c r="J75" s="85">
        <v>5.7359999999999998</v>
      </c>
      <c r="O75" s="283">
        <v>43412</v>
      </c>
      <c r="P75" s="85">
        <v>103.587</v>
      </c>
      <c r="Q75" s="85">
        <v>104.33499999999999</v>
      </c>
      <c r="R75" s="85">
        <v>103.961</v>
      </c>
      <c r="S75" s="85">
        <v>6.5540000000000003</v>
      </c>
      <c r="T75" s="85">
        <v>6.492</v>
      </c>
      <c r="U75" s="85">
        <v>6.5229999999999997</v>
      </c>
      <c r="W75" s="283">
        <v>43433</v>
      </c>
      <c r="X75" s="85">
        <v>105.09399999999999</v>
      </c>
      <c r="Y75" s="85">
        <v>105.92100000000001</v>
      </c>
      <c r="Z75" s="85">
        <v>105.508</v>
      </c>
      <c r="AA75" s="85">
        <v>6.43</v>
      </c>
      <c r="AB75" s="85">
        <v>6.3629999999999995</v>
      </c>
      <c r="AC75" s="85">
        <v>6.3959999999999999</v>
      </c>
      <c r="AE75" s="283">
        <v>43620</v>
      </c>
      <c r="AF75" s="85">
        <v>111.599</v>
      </c>
      <c r="AG75" s="85">
        <v>112.32599999999999</v>
      </c>
      <c r="AH75" s="85">
        <v>111.96299999999999</v>
      </c>
      <c r="AI75" s="85">
        <v>5.9119999999999999</v>
      </c>
      <c r="AJ75" s="85">
        <v>5.8570000000000002</v>
      </c>
      <c r="AK75" s="85">
        <v>5.8840000000000003</v>
      </c>
      <c r="AM75" s="283">
        <v>43626</v>
      </c>
      <c r="AN75" s="85">
        <v>113.188</v>
      </c>
      <c r="AO75" s="85">
        <v>114.27200000000001</v>
      </c>
      <c r="AP75" s="85">
        <v>113.73</v>
      </c>
      <c r="AQ75" s="85">
        <v>5.7930000000000001</v>
      </c>
      <c r="AR75" s="85">
        <v>5.7130000000000001</v>
      </c>
      <c r="AS75" s="85">
        <v>5.7530000000000001</v>
      </c>
      <c r="AU75" s="283">
        <v>43628</v>
      </c>
      <c r="AV75" s="85">
        <v>113.536</v>
      </c>
      <c r="AW75" s="85">
        <v>114.378</v>
      </c>
      <c r="AX75" s="85">
        <v>113.95699999999999</v>
      </c>
      <c r="AY75" s="85">
        <v>5.7670000000000003</v>
      </c>
      <c r="AZ75" s="85">
        <v>5.7050000000000001</v>
      </c>
      <c r="BA75" s="85">
        <v>5.7359999999999998</v>
      </c>
    </row>
    <row r="76" spans="4:53">
      <c r="D76" s="283">
        <v>43627</v>
      </c>
      <c r="E76" s="85">
        <v>113.57299999999999</v>
      </c>
      <c r="F76" s="85">
        <v>114.48099999999999</v>
      </c>
      <c r="G76" s="85">
        <v>114.027</v>
      </c>
      <c r="H76" s="85">
        <v>5.7640000000000002</v>
      </c>
      <c r="I76" s="85">
        <v>5.6980000000000004</v>
      </c>
      <c r="J76" s="85">
        <v>5.7309999999999999</v>
      </c>
      <c r="O76" s="283"/>
      <c r="W76" s="283">
        <v>43432</v>
      </c>
      <c r="X76" s="85">
        <v>105.431</v>
      </c>
      <c r="Y76" s="85">
        <v>106.224</v>
      </c>
      <c r="Z76" s="85">
        <v>105.828</v>
      </c>
      <c r="AA76" s="85">
        <v>6.4020000000000001</v>
      </c>
      <c r="AB76" s="85">
        <v>6.3380000000000001</v>
      </c>
      <c r="AC76" s="85">
        <v>6.37</v>
      </c>
      <c r="AE76" s="283">
        <v>43619</v>
      </c>
      <c r="AF76" s="85">
        <v>111.301</v>
      </c>
      <c r="AG76" s="85">
        <v>112.19199999999999</v>
      </c>
      <c r="AH76" s="85">
        <v>111.747</v>
      </c>
      <c r="AI76" s="85">
        <v>5.9340000000000002</v>
      </c>
      <c r="AJ76" s="85">
        <v>5.867</v>
      </c>
      <c r="AK76" s="85">
        <v>5.9</v>
      </c>
      <c r="AM76" s="283">
        <v>43623</v>
      </c>
      <c r="AN76" s="85">
        <v>113.464</v>
      </c>
      <c r="AO76" s="85">
        <v>114.17700000000001</v>
      </c>
      <c r="AP76" s="85">
        <v>113.821</v>
      </c>
      <c r="AQ76" s="85">
        <v>5.7720000000000002</v>
      </c>
      <c r="AR76" s="85">
        <v>5.72</v>
      </c>
      <c r="AS76" s="85">
        <v>5.7460000000000004</v>
      </c>
      <c r="AU76" s="283">
        <v>43627</v>
      </c>
      <c r="AV76" s="85">
        <v>113.57299999999999</v>
      </c>
      <c r="AW76" s="85">
        <v>114.48099999999999</v>
      </c>
      <c r="AX76" s="85">
        <v>114.027</v>
      </c>
      <c r="AY76" s="85">
        <v>5.7640000000000002</v>
      </c>
      <c r="AZ76" s="85">
        <v>5.6980000000000004</v>
      </c>
      <c r="BA76" s="85">
        <v>5.7309999999999999</v>
      </c>
    </row>
    <row r="77" spans="4:53">
      <c r="O77" s="283"/>
      <c r="W77" s="283">
        <v>43431</v>
      </c>
      <c r="X77" s="85">
        <v>105.69</v>
      </c>
      <c r="Y77" s="85">
        <v>106.45099999999999</v>
      </c>
      <c r="Z77" s="85">
        <v>106.071</v>
      </c>
      <c r="AA77" s="85">
        <v>6.3810000000000002</v>
      </c>
      <c r="AB77" s="85">
        <v>6.32</v>
      </c>
      <c r="AC77" s="85">
        <v>6.35</v>
      </c>
      <c r="AE77" s="283">
        <v>43616</v>
      </c>
      <c r="AF77" s="85">
        <v>111.407</v>
      </c>
      <c r="AG77" s="85">
        <v>112.14700000000001</v>
      </c>
      <c r="AH77" s="85">
        <v>111.777</v>
      </c>
      <c r="AI77" s="85">
        <v>5.9260000000000002</v>
      </c>
      <c r="AJ77" s="85">
        <v>5.8710000000000004</v>
      </c>
      <c r="AK77" s="85">
        <v>5.8979999999999997</v>
      </c>
      <c r="AM77" s="283">
        <v>43622</v>
      </c>
      <c r="AN77" s="85">
        <v>111.949</v>
      </c>
      <c r="AO77" s="85">
        <v>112.70399999999999</v>
      </c>
      <c r="AP77" s="85">
        <v>112.327</v>
      </c>
      <c r="AQ77" s="85">
        <v>5.8849999999999998</v>
      </c>
      <c r="AR77" s="85">
        <v>5.8289999999999997</v>
      </c>
      <c r="AS77" s="85">
        <v>5.8570000000000002</v>
      </c>
    </row>
    <row r="78" spans="4:53">
      <c r="D78" s="85" t="s">
        <v>126</v>
      </c>
      <c r="O78" s="85" t="s">
        <v>126</v>
      </c>
      <c r="W78" s="85" t="s">
        <v>126</v>
      </c>
      <c r="AE78" s="85" t="s">
        <v>126</v>
      </c>
      <c r="AM78" s="85" t="s">
        <v>126</v>
      </c>
      <c r="AU78" s="85" t="s">
        <v>126</v>
      </c>
    </row>
    <row r="79" spans="4:53">
      <c r="D79" s="85" t="s">
        <v>478</v>
      </c>
      <c r="O79" s="85" t="s">
        <v>478</v>
      </c>
      <c r="W79" s="85" t="s">
        <v>478</v>
      </c>
      <c r="AE79" s="85" t="s">
        <v>478</v>
      </c>
      <c r="AM79" s="85" t="s">
        <v>478</v>
      </c>
      <c r="AU79" s="85" t="s">
        <v>478</v>
      </c>
    </row>
    <row r="80" spans="4:53">
      <c r="E80" s="85" t="s">
        <v>327</v>
      </c>
      <c r="F80" s="85" t="s">
        <v>328</v>
      </c>
      <c r="G80" s="85" t="s">
        <v>329</v>
      </c>
      <c r="H80" s="85" t="s">
        <v>330</v>
      </c>
      <c r="I80" s="85" t="s">
        <v>331</v>
      </c>
      <c r="J80" s="85" t="s">
        <v>333</v>
      </c>
      <c r="P80" s="85" t="s">
        <v>327</v>
      </c>
      <c r="Q80" s="85" t="s">
        <v>328</v>
      </c>
      <c r="R80" s="85" t="s">
        <v>329</v>
      </c>
      <c r="S80" s="85" t="s">
        <v>330</v>
      </c>
      <c r="T80" s="85" t="s">
        <v>331</v>
      </c>
      <c r="U80" s="85" t="s">
        <v>333</v>
      </c>
      <c r="X80" s="85" t="s">
        <v>327</v>
      </c>
      <c r="Y80" s="85" t="s">
        <v>328</v>
      </c>
      <c r="Z80" s="85" t="s">
        <v>329</v>
      </c>
      <c r="AA80" s="85" t="s">
        <v>330</v>
      </c>
      <c r="AB80" s="85" t="s">
        <v>331</v>
      </c>
      <c r="AC80" s="85" t="s">
        <v>333</v>
      </c>
      <c r="AF80" s="85" t="s">
        <v>327</v>
      </c>
      <c r="AG80" s="85" t="s">
        <v>328</v>
      </c>
      <c r="AH80" s="85" t="s">
        <v>329</v>
      </c>
      <c r="AI80" s="85" t="s">
        <v>330</v>
      </c>
      <c r="AJ80" s="85" t="s">
        <v>331</v>
      </c>
      <c r="AK80" s="85" t="s">
        <v>333</v>
      </c>
      <c r="AN80" s="85" t="s">
        <v>327</v>
      </c>
      <c r="AO80" s="85" t="s">
        <v>328</v>
      </c>
      <c r="AP80" s="85" t="s">
        <v>329</v>
      </c>
      <c r="AQ80" s="85" t="s">
        <v>330</v>
      </c>
      <c r="AR80" s="85" t="s">
        <v>331</v>
      </c>
      <c r="AS80" s="85" t="s">
        <v>333</v>
      </c>
      <c r="AV80" s="85" t="s">
        <v>327</v>
      </c>
      <c r="AW80" s="85" t="s">
        <v>328</v>
      </c>
      <c r="AX80" s="85" t="s">
        <v>329</v>
      </c>
      <c r="AY80" s="85" t="s">
        <v>330</v>
      </c>
      <c r="AZ80" s="85" t="s">
        <v>331</v>
      </c>
      <c r="BA80" s="85" t="s">
        <v>333</v>
      </c>
    </row>
    <row r="81" spans="4:53">
      <c r="D81" s="85" t="s">
        <v>427</v>
      </c>
      <c r="E81" s="85" t="s">
        <v>406</v>
      </c>
      <c r="F81" s="85" t="s">
        <v>408</v>
      </c>
      <c r="G81" s="85" t="s">
        <v>403</v>
      </c>
      <c r="H81" s="85" t="s">
        <v>407</v>
      </c>
      <c r="I81" s="85" t="s">
        <v>409</v>
      </c>
      <c r="J81" s="85" t="s">
        <v>404</v>
      </c>
      <c r="O81" s="85" t="s">
        <v>427</v>
      </c>
      <c r="P81" s="85" t="s">
        <v>406</v>
      </c>
      <c r="Q81" s="85" t="s">
        <v>408</v>
      </c>
      <c r="R81" s="85" t="s">
        <v>403</v>
      </c>
      <c r="S81" s="85" t="s">
        <v>407</v>
      </c>
      <c r="T81" s="85" t="s">
        <v>409</v>
      </c>
      <c r="U81" s="85" t="s">
        <v>404</v>
      </c>
      <c r="W81" s="85" t="s">
        <v>427</v>
      </c>
      <c r="X81" s="85" t="s">
        <v>406</v>
      </c>
      <c r="Y81" s="85" t="s">
        <v>408</v>
      </c>
      <c r="Z81" s="85" t="s">
        <v>403</v>
      </c>
      <c r="AA81" s="85" t="s">
        <v>407</v>
      </c>
      <c r="AB81" s="85" t="s">
        <v>409</v>
      </c>
      <c r="AC81" s="85" t="s">
        <v>404</v>
      </c>
      <c r="AE81" s="85" t="s">
        <v>427</v>
      </c>
      <c r="AF81" s="85" t="s">
        <v>406</v>
      </c>
      <c r="AG81" s="85" t="s">
        <v>408</v>
      </c>
      <c r="AH81" s="85" t="s">
        <v>403</v>
      </c>
      <c r="AI81" s="85" t="s">
        <v>407</v>
      </c>
      <c r="AJ81" s="85" t="s">
        <v>409</v>
      </c>
      <c r="AK81" s="85" t="s">
        <v>404</v>
      </c>
      <c r="AM81" s="85" t="s">
        <v>427</v>
      </c>
      <c r="AN81" s="85" t="s">
        <v>406</v>
      </c>
      <c r="AO81" s="85" t="s">
        <v>408</v>
      </c>
      <c r="AP81" s="85" t="s">
        <v>403</v>
      </c>
      <c r="AQ81" s="85" t="s">
        <v>407</v>
      </c>
      <c r="AR81" s="85" t="s">
        <v>409</v>
      </c>
      <c r="AS81" s="85" t="s">
        <v>404</v>
      </c>
      <c r="AU81" s="85" t="s">
        <v>427</v>
      </c>
      <c r="AV81" s="85" t="s">
        <v>406</v>
      </c>
      <c r="AW81" s="85" t="s">
        <v>408</v>
      </c>
      <c r="AX81" s="85" t="s">
        <v>403</v>
      </c>
      <c r="AY81" s="85" t="s">
        <v>407</v>
      </c>
      <c r="AZ81" s="85" t="s">
        <v>409</v>
      </c>
      <c r="BA81" s="85" t="s">
        <v>404</v>
      </c>
    </row>
    <row r="82" spans="4:53">
      <c r="D82" s="283">
        <v>43628</v>
      </c>
      <c r="E82" s="85">
        <v>112.834</v>
      </c>
      <c r="F82" s="85">
        <v>113.67700000000001</v>
      </c>
      <c r="G82" s="85">
        <v>113.256</v>
      </c>
      <c r="H82" s="85">
        <v>5.8490000000000002</v>
      </c>
      <c r="I82" s="85">
        <v>5.798</v>
      </c>
      <c r="J82" s="85">
        <v>5.8239999999999998</v>
      </c>
      <c r="O82" s="283">
        <v>43412</v>
      </c>
      <c r="P82" s="85">
        <v>101.086</v>
      </c>
      <c r="Q82" s="85">
        <v>101.812</v>
      </c>
      <c r="R82" s="85">
        <v>101.449</v>
      </c>
      <c r="S82" s="85">
        <v>6.6429999999999998</v>
      </c>
      <c r="T82" s="85">
        <v>6.59</v>
      </c>
      <c r="U82" s="85">
        <v>6.617</v>
      </c>
      <c r="W82" s="283">
        <v>43433</v>
      </c>
      <c r="X82" s="85">
        <v>102.92400000000001</v>
      </c>
      <c r="Y82" s="85">
        <v>103.28</v>
      </c>
      <c r="Z82" s="85">
        <v>103.102</v>
      </c>
      <c r="AA82" s="85">
        <v>6.51</v>
      </c>
      <c r="AB82" s="85">
        <v>6.4850000000000003</v>
      </c>
      <c r="AC82" s="85">
        <v>6.4969999999999999</v>
      </c>
      <c r="AE82" s="283">
        <v>43620</v>
      </c>
      <c r="AF82" s="85">
        <v>110.041</v>
      </c>
      <c r="AG82" s="85">
        <v>111.64700000000001</v>
      </c>
      <c r="AH82" s="85">
        <v>110.84399999999999</v>
      </c>
      <c r="AI82" s="85">
        <v>6.0250000000000004</v>
      </c>
      <c r="AJ82" s="85">
        <v>5.923</v>
      </c>
      <c r="AK82" s="85">
        <v>5.9740000000000002</v>
      </c>
      <c r="AM82" s="283">
        <v>43623</v>
      </c>
      <c r="AN82" s="85">
        <v>110.59</v>
      </c>
      <c r="AO82" s="85">
        <v>112.122</v>
      </c>
      <c r="AP82" s="85">
        <v>111.35599999999999</v>
      </c>
      <c r="AQ82" s="85">
        <v>5.99</v>
      </c>
      <c r="AR82" s="85">
        <v>5.8940000000000001</v>
      </c>
      <c r="AS82" s="85">
        <v>5.9420000000000002</v>
      </c>
      <c r="AU82" s="283">
        <v>43628</v>
      </c>
      <c r="AV82" s="85">
        <v>112.834</v>
      </c>
      <c r="AW82" s="85">
        <v>113.67700000000001</v>
      </c>
      <c r="AX82" s="85">
        <v>113.256</v>
      </c>
      <c r="AY82" s="85">
        <v>5.8490000000000002</v>
      </c>
      <c r="AZ82" s="85">
        <v>5.798</v>
      </c>
      <c r="BA82" s="85">
        <v>5.8239999999999998</v>
      </c>
    </row>
    <row r="83" spans="4:53">
      <c r="D83" s="283">
        <v>43627</v>
      </c>
      <c r="E83" s="85">
        <v>112.16</v>
      </c>
      <c r="F83" s="85">
        <v>113.277</v>
      </c>
      <c r="G83" s="85">
        <v>112.71899999999999</v>
      </c>
      <c r="H83" s="85">
        <v>5.891</v>
      </c>
      <c r="I83" s="85">
        <v>5.8220000000000001</v>
      </c>
      <c r="J83" s="85">
        <v>5.8570000000000002</v>
      </c>
      <c r="O83" s="283">
        <v>43411</v>
      </c>
      <c r="P83" s="85">
        <v>100.979</v>
      </c>
      <c r="Q83" s="85">
        <v>101.72</v>
      </c>
      <c r="R83" s="85">
        <v>101.35</v>
      </c>
      <c r="S83" s="85">
        <v>6.6509999999999998</v>
      </c>
      <c r="T83" s="85">
        <v>6.5969999999999995</v>
      </c>
      <c r="U83" s="85">
        <v>6.6239999999999997</v>
      </c>
      <c r="W83" s="283">
        <v>43432</v>
      </c>
      <c r="X83" s="85">
        <v>103.483</v>
      </c>
      <c r="Y83" s="85">
        <v>103.998</v>
      </c>
      <c r="Z83" s="85">
        <v>103.741</v>
      </c>
      <c r="AA83" s="85">
        <v>6.47</v>
      </c>
      <c r="AB83" s="85">
        <v>6.4340000000000002</v>
      </c>
      <c r="AC83" s="85">
        <v>6.452</v>
      </c>
      <c r="AE83" s="283">
        <v>43619</v>
      </c>
      <c r="AF83" s="85">
        <v>110.087</v>
      </c>
      <c r="AG83" s="85">
        <v>111.384</v>
      </c>
      <c r="AH83" s="85">
        <v>110.736</v>
      </c>
      <c r="AI83" s="85">
        <v>6.0220000000000002</v>
      </c>
      <c r="AJ83" s="85">
        <v>5.9399999999999995</v>
      </c>
      <c r="AK83" s="85">
        <v>5.9809999999999999</v>
      </c>
      <c r="AM83" s="283">
        <v>43622</v>
      </c>
      <c r="AN83" s="85">
        <v>110.32599999999999</v>
      </c>
      <c r="AO83" s="85">
        <v>112.307</v>
      </c>
      <c r="AP83" s="85">
        <v>111.316</v>
      </c>
      <c r="AQ83" s="85">
        <v>6.0069999999999997</v>
      </c>
      <c r="AR83" s="85">
        <v>5.8819999999999997</v>
      </c>
      <c r="AS83" s="85">
        <v>5.944</v>
      </c>
      <c r="AU83" s="283">
        <v>43627</v>
      </c>
      <c r="AV83" s="85">
        <v>112.16</v>
      </c>
      <c r="AW83" s="85">
        <v>113.277</v>
      </c>
      <c r="AX83" s="85">
        <v>112.71899999999999</v>
      </c>
      <c r="AY83" s="85">
        <v>5.891</v>
      </c>
      <c r="AZ83" s="85">
        <v>5.8220000000000001</v>
      </c>
      <c r="BA83" s="85">
        <v>5.8570000000000002</v>
      </c>
    </row>
    <row r="84" spans="4:53">
      <c r="O84" s="283">
        <v>43410</v>
      </c>
      <c r="P84" s="85">
        <v>100.783</v>
      </c>
      <c r="Q84" s="85">
        <v>101.39400000000001</v>
      </c>
      <c r="R84" s="85">
        <v>101.089</v>
      </c>
      <c r="S84" s="85">
        <v>6.6660000000000004</v>
      </c>
      <c r="T84" s="85">
        <v>6.6210000000000004</v>
      </c>
      <c r="U84" s="85">
        <v>6.6429999999999998</v>
      </c>
      <c r="W84" s="283">
        <v>43431</v>
      </c>
      <c r="X84" s="85">
        <v>103.324</v>
      </c>
      <c r="Y84" s="85">
        <v>104.081</v>
      </c>
      <c r="Z84" s="85">
        <v>103.702</v>
      </c>
      <c r="AA84" s="85">
        <v>6.4809999999999999</v>
      </c>
      <c r="AB84" s="85">
        <v>6.4279999999999999</v>
      </c>
      <c r="AC84" s="85">
        <v>6.4550000000000001</v>
      </c>
      <c r="AE84" s="283">
        <v>43616</v>
      </c>
      <c r="AF84" s="85">
        <v>109.45</v>
      </c>
      <c r="AG84" s="85">
        <v>110.746</v>
      </c>
      <c r="AH84" s="85">
        <v>110.098</v>
      </c>
      <c r="AI84" s="85">
        <v>6.0640000000000001</v>
      </c>
      <c r="AJ84" s="85">
        <v>5.98</v>
      </c>
      <c r="AK84" s="85">
        <v>6.0220000000000002</v>
      </c>
    </row>
    <row r="85" spans="4:53">
      <c r="D85" s="85" t="s">
        <v>219</v>
      </c>
      <c r="O85" s="85" t="s">
        <v>219</v>
      </c>
      <c r="W85" s="85" t="s">
        <v>219</v>
      </c>
      <c r="AE85" s="85" t="s">
        <v>219</v>
      </c>
      <c r="AM85" s="85" t="s">
        <v>219</v>
      </c>
      <c r="AU85" s="85" t="s">
        <v>219</v>
      </c>
    </row>
    <row r="86" spans="4:53">
      <c r="D86" s="85" t="s">
        <v>479</v>
      </c>
      <c r="O86" s="85" t="s">
        <v>479</v>
      </c>
      <c r="W86" s="85" t="s">
        <v>479</v>
      </c>
      <c r="AE86" s="85" t="s">
        <v>479</v>
      </c>
      <c r="AM86" s="85" t="s">
        <v>479</v>
      </c>
      <c r="AU86" s="85" t="s">
        <v>479</v>
      </c>
    </row>
    <row r="87" spans="4:53">
      <c r="E87" s="85" t="s">
        <v>327</v>
      </c>
      <c r="F87" s="85" t="s">
        <v>328</v>
      </c>
      <c r="G87" s="85" t="s">
        <v>329</v>
      </c>
      <c r="H87" s="85" t="s">
        <v>330</v>
      </c>
      <c r="I87" s="85" t="s">
        <v>331</v>
      </c>
      <c r="J87" s="85" t="s">
        <v>333</v>
      </c>
      <c r="P87" s="85" t="s">
        <v>327</v>
      </c>
      <c r="Q87" s="85" t="s">
        <v>328</v>
      </c>
      <c r="R87" s="85" t="s">
        <v>329</v>
      </c>
      <c r="S87" s="85" t="s">
        <v>330</v>
      </c>
      <c r="T87" s="85" t="s">
        <v>331</v>
      </c>
      <c r="U87" s="85" t="s">
        <v>333</v>
      </c>
      <c r="X87" s="85" t="s">
        <v>327</v>
      </c>
      <c r="Y87" s="85" t="s">
        <v>328</v>
      </c>
      <c r="Z87" s="85" t="s">
        <v>329</v>
      </c>
      <c r="AA87" s="85" t="s">
        <v>330</v>
      </c>
      <c r="AB87" s="85" t="s">
        <v>331</v>
      </c>
      <c r="AC87" s="85" t="s">
        <v>333</v>
      </c>
      <c r="AF87" s="85" t="s">
        <v>327</v>
      </c>
      <c r="AG87" s="85" t="s">
        <v>328</v>
      </c>
      <c r="AH87" s="85" t="s">
        <v>329</v>
      </c>
      <c r="AI87" s="85" t="s">
        <v>330</v>
      </c>
      <c r="AJ87" s="85" t="s">
        <v>331</v>
      </c>
      <c r="AK87" s="85" t="s">
        <v>333</v>
      </c>
      <c r="AN87" s="85" t="s">
        <v>327</v>
      </c>
      <c r="AO87" s="85" t="s">
        <v>328</v>
      </c>
      <c r="AP87" s="85" t="s">
        <v>329</v>
      </c>
      <c r="AQ87" s="85" t="s">
        <v>330</v>
      </c>
      <c r="AR87" s="85" t="s">
        <v>331</v>
      </c>
      <c r="AS87" s="85" t="s">
        <v>333</v>
      </c>
      <c r="AV87" s="85" t="s">
        <v>327</v>
      </c>
      <c r="AW87" s="85" t="s">
        <v>328</v>
      </c>
      <c r="AX87" s="85" t="s">
        <v>329</v>
      </c>
      <c r="AY87" s="85" t="s">
        <v>330</v>
      </c>
      <c r="AZ87" s="85" t="s">
        <v>331</v>
      </c>
      <c r="BA87" s="85" t="s">
        <v>333</v>
      </c>
    </row>
    <row r="88" spans="4:53">
      <c r="D88" s="85" t="s">
        <v>427</v>
      </c>
      <c r="E88" s="85" t="s">
        <v>406</v>
      </c>
      <c r="F88" s="85" t="s">
        <v>408</v>
      </c>
      <c r="G88" s="85" t="s">
        <v>403</v>
      </c>
      <c r="H88" s="85" t="s">
        <v>407</v>
      </c>
      <c r="I88" s="85" t="s">
        <v>409</v>
      </c>
      <c r="J88" s="85" t="s">
        <v>404</v>
      </c>
      <c r="O88" s="85" t="s">
        <v>427</v>
      </c>
      <c r="P88" s="85" t="s">
        <v>406</v>
      </c>
      <c r="Q88" s="85" t="s">
        <v>408</v>
      </c>
      <c r="R88" s="85" t="s">
        <v>403</v>
      </c>
      <c r="S88" s="85" t="s">
        <v>407</v>
      </c>
      <c r="T88" s="85" t="s">
        <v>409</v>
      </c>
      <c r="U88" s="85" t="s">
        <v>404</v>
      </c>
      <c r="W88" s="85" t="s">
        <v>427</v>
      </c>
      <c r="X88" s="85" t="s">
        <v>406</v>
      </c>
      <c r="Y88" s="85" t="s">
        <v>408</v>
      </c>
      <c r="Z88" s="85" t="s">
        <v>403</v>
      </c>
      <c r="AA88" s="85" t="s">
        <v>407</v>
      </c>
      <c r="AB88" s="85" t="s">
        <v>409</v>
      </c>
      <c r="AC88" s="85" t="s">
        <v>404</v>
      </c>
      <c r="AE88" s="85" t="s">
        <v>427</v>
      </c>
      <c r="AF88" s="85" t="s">
        <v>406</v>
      </c>
      <c r="AG88" s="85" t="s">
        <v>408</v>
      </c>
      <c r="AH88" s="85" t="s">
        <v>403</v>
      </c>
      <c r="AI88" s="85" t="s">
        <v>407</v>
      </c>
      <c r="AJ88" s="85" t="s">
        <v>409</v>
      </c>
      <c r="AK88" s="85" t="s">
        <v>404</v>
      </c>
      <c r="AM88" s="85" t="s">
        <v>427</v>
      </c>
      <c r="AN88" s="85" t="s">
        <v>406</v>
      </c>
      <c r="AO88" s="85" t="s">
        <v>408</v>
      </c>
      <c r="AP88" s="85" t="s">
        <v>403</v>
      </c>
      <c r="AQ88" s="85" t="s">
        <v>407</v>
      </c>
      <c r="AR88" s="85" t="s">
        <v>409</v>
      </c>
      <c r="AS88" s="85" t="s">
        <v>404</v>
      </c>
      <c r="AU88" s="85" t="s">
        <v>427</v>
      </c>
      <c r="AV88" s="85" t="s">
        <v>406</v>
      </c>
      <c r="AW88" s="85" t="s">
        <v>408</v>
      </c>
      <c r="AX88" s="85" t="s">
        <v>403</v>
      </c>
      <c r="AY88" s="85" t="s">
        <v>407</v>
      </c>
      <c r="AZ88" s="85" t="s">
        <v>409</v>
      </c>
      <c r="BA88" s="85" t="s">
        <v>404</v>
      </c>
    </row>
    <row r="89" spans="4:53">
      <c r="D89" s="85" t="e">
        <v>#N/A</v>
      </c>
      <c r="O89" s="283">
        <v>43412</v>
      </c>
      <c r="P89" s="85">
        <v>102.21899999999999</v>
      </c>
      <c r="Q89" s="85">
        <v>102.41800000000001</v>
      </c>
      <c r="R89" s="85">
        <v>102.319</v>
      </c>
      <c r="S89" s="85">
        <v>1.2549999999999999</v>
      </c>
      <c r="T89" s="85">
        <v>0.746</v>
      </c>
      <c r="U89" s="85">
        <v>1</v>
      </c>
      <c r="W89" s="283">
        <v>43433</v>
      </c>
      <c r="X89" s="85">
        <v>102.114</v>
      </c>
      <c r="Y89" s="85">
        <v>102.29300000000001</v>
      </c>
      <c r="Z89" s="85">
        <v>102.203</v>
      </c>
      <c r="AA89" s="85">
        <v>0.60099999999999998</v>
      </c>
      <c r="AB89" s="85">
        <v>6.8000000000000005E-2</v>
      </c>
      <c r="AC89" s="85">
        <v>0.33400000000000002</v>
      </c>
      <c r="AE89" s="85" t="s">
        <v>301</v>
      </c>
      <c r="AM89" s="85">
        <v>0</v>
      </c>
      <c r="AU89" s="85" t="e">
        <v>#N/A</v>
      </c>
    </row>
    <row r="90" spans="4:53">
      <c r="O90" s="283">
        <v>43411</v>
      </c>
      <c r="P90" s="85">
        <v>102.294</v>
      </c>
      <c r="Q90" s="85">
        <v>102.447</v>
      </c>
      <c r="R90" s="85">
        <v>102.37</v>
      </c>
      <c r="S90" s="85">
        <v>1.23</v>
      </c>
      <c r="T90" s="85">
        <v>0.85099999999999998</v>
      </c>
      <c r="U90" s="85">
        <v>1.04</v>
      </c>
      <c r="W90" s="283">
        <v>43432</v>
      </c>
      <c r="X90" s="85">
        <v>102.13</v>
      </c>
      <c r="Y90" s="85">
        <v>102.322</v>
      </c>
      <c r="Z90" s="85">
        <v>102.226</v>
      </c>
      <c r="AA90" s="85">
        <v>0.71099999999999997</v>
      </c>
      <c r="AB90" s="85">
        <v>0.152</v>
      </c>
      <c r="AC90" s="85">
        <v>0.43099999999999999</v>
      </c>
    </row>
    <row r="91" spans="4:53">
      <c r="O91" s="283">
        <v>43410</v>
      </c>
      <c r="P91" s="85">
        <v>102.29600000000001</v>
      </c>
      <c r="Q91" s="85">
        <v>102.45699999999999</v>
      </c>
      <c r="R91" s="85">
        <v>102.376</v>
      </c>
      <c r="S91" s="85">
        <v>1.2650000000000001</v>
      </c>
      <c r="T91" s="85">
        <v>0.86899999999999999</v>
      </c>
      <c r="U91" s="85">
        <v>1.0669999999999999</v>
      </c>
      <c r="W91" s="283">
        <v>43431</v>
      </c>
      <c r="X91" s="85">
        <v>102.01900000000001</v>
      </c>
      <c r="Y91" s="85">
        <v>102.28400000000001</v>
      </c>
      <c r="Z91" s="85">
        <v>102.152</v>
      </c>
      <c r="AA91" s="85">
        <v>1.083</v>
      </c>
      <c r="AB91" s="85">
        <v>0.31900000000000001</v>
      </c>
      <c r="AC91" s="85">
        <v>0.70099999999999996</v>
      </c>
    </row>
    <row r="92" spans="4:53">
      <c r="D92" s="85" t="s">
        <v>227</v>
      </c>
      <c r="O92" s="85" t="s">
        <v>227</v>
      </c>
      <c r="W92" s="85" t="s">
        <v>227</v>
      </c>
      <c r="AE92" s="85" t="s">
        <v>227</v>
      </c>
      <c r="AM92" s="85" t="s">
        <v>227</v>
      </c>
      <c r="AU92" s="85" t="s">
        <v>227</v>
      </c>
    </row>
    <row r="93" spans="4:53">
      <c r="D93" s="85" t="s">
        <v>480</v>
      </c>
      <c r="O93" s="85" t="s">
        <v>480</v>
      </c>
      <c r="W93" s="85" t="s">
        <v>480</v>
      </c>
      <c r="AE93" s="85" t="s">
        <v>480</v>
      </c>
      <c r="AM93" s="85" t="s">
        <v>480</v>
      </c>
      <c r="AU93" s="85" t="s">
        <v>480</v>
      </c>
    </row>
    <row r="94" spans="4:53">
      <c r="E94" s="85" t="s">
        <v>327</v>
      </c>
      <c r="F94" s="85" t="s">
        <v>328</v>
      </c>
      <c r="G94" s="85" t="s">
        <v>329</v>
      </c>
      <c r="H94" s="85" t="s">
        <v>330</v>
      </c>
      <c r="I94" s="85" t="s">
        <v>331</v>
      </c>
      <c r="J94" s="85" t="s">
        <v>333</v>
      </c>
      <c r="P94" s="85" t="s">
        <v>327</v>
      </c>
      <c r="Q94" s="85" t="s">
        <v>328</v>
      </c>
      <c r="R94" s="85" t="s">
        <v>329</v>
      </c>
      <c r="S94" s="85" t="s">
        <v>330</v>
      </c>
      <c r="T94" s="85" t="s">
        <v>331</v>
      </c>
      <c r="U94" s="85" t="s">
        <v>333</v>
      </c>
      <c r="X94" s="85" t="s">
        <v>327</v>
      </c>
      <c r="Y94" s="85" t="s">
        <v>328</v>
      </c>
      <c r="Z94" s="85" t="s">
        <v>329</v>
      </c>
      <c r="AA94" s="85" t="s">
        <v>330</v>
      </c>
      <c r="AB94" s="85" t="s">
        <v>331</v>
      </c>
      <c r="AC94" s="85" t="s">
        <v>333</v>
      </c>
      <c r="AF94" s="85" t="s">
        <v>327</v>
      </c>
      <c r="AG94" s="85" t="s">
        <v>328</v>
      </c>
      <c r="AH94" s="85" t="s">
        <v>329</v>
      </c>
      <c r="AI94" s="85" t="s">
        <v>330</v>
      </c>
      <c r="AJ94" s="85" t="s">
        <v>331</v>
      </c>
      <c r="AK94" s="85" t="s">
        <v>333</v>
      </c>
      <c r="AN94" s="85" t="s">
        <v>327</v>
      </c>
      <c r="AO94" s="85" t="s">
        <v>328</v>
      </c>
      <c r="AP94" s="85" t="s">
        <v>329</v>
      </c>
      <c r="AQ94" s="85" t="s">
        <v>330</v>
      </c>
      <c r="AR94" s="85" t="s">
        <v>331</v>
      </c>
      <c r="AS94" s="85" t="s">
        <v>333</v>
      </c>
      <c r="AV94" s="85" t="s">
        <v>327</v>
      </c>
      <c r="AW94" s="85" t="s">
        <v>328</v>
      </c>
      <c r="AX94" s="85" t="s">
        <v>329</v>
      </c>
      <c r="AY94" s="85" t="s">
        <v>330</v>
      </c>
      <c r="AZ94" s="85" t="s">
        <v>331</v>
      </c>
      <c r="BA94" s="85" t="s">
        <v>333</v>
      </c>
    </row>
    <row r="95" spans="4:53">
      <c r="D95" s="85" t="s">
        <v>427</v>
      </c>
      <c r="E95" s="85" t="s">
        <v>406</v>
      </c>
      <c r="F95" s="85" t="s">
        <v>408</v>
      </c>
      <c r="G95" s="85" t="s">
        <v>403</v>
      </c>
      <c r="H95" s="85" t="s">
        <v>407</v>
      </c>
      <c r="I95" s="85" t="s">
        <v>409</v>
      </c>
      <c r="J95" s="85" t="s">
        <v>404</v>
      </c>
      <c r="O95" s="85" t="s">
        <v>427</v>
      </c>
      <c r="P95" s="85" t="s">
        <v>406</v>
      </c>
      <c r="Q95" s="85" t="s">
        <v>408</v>
      </c>
      <c r="R95" s="85" t="s">
        <v>403</v>
      </c>
      <c r="S95" s="85" t="s">
        <v>407</v>
      </c>
      <c r="T95" s="85" t="s">
        <v>409</v>
      </c>
      <c r="U95" s="85" t="s">
        <v>404</v>
      </c>
      <c r="W95" s="85" t="s">
        <v>427</v>
      </c>
      <c r="X95" s="85" t="s">
        <v>406</v>
      </c>
      <c r="Y95" s="85" t="s">
        <v>408</v>
      </c>
      <c r="Z95" s="85" t="s">
        <v>403</v>
      </c>
      <c r="AA95" s="85" t="s">
        <v>407</v>
      </c>
      <c r="AB95" s="85" t="s">
        <v>409</v>
      </c>
      <c r="AC95" s="85" t="s">
        <v>404</v>
      </c>
      <c r="AE95" s="85" t="s">
        <v>427</v>
      </c>
      <c r="AF95" s="85" t="s">
        <v>406</v>
      </c>
      <c r="AG95" s="85" t="s">
        <v>408</v>
      </c>
      <c r="AH95" s="85" t="s">
        <v>403</v>
      </c>
      <c r="AI95" s="85" t="s">
        <v>407</v>
      </c>
      <c r="AJ95" s="85" t="s">
        <v>409</v>
      </c>
      <c r="AK95" s="85" t="s">
        <v>404</v>
      </c>
      <c r="AM95" s="85" t="s">
        <v>427</v>
      </c>
      <c r="AN95" s="85" t="s">
        <v>406</v>
      </c>
      <c r="AO95" s="85" t="s">
        <v>408</v>
      </c>
      <c r="AP95" s="85" t="s">
        <v>403</v>
      </c>
      <c r="AQ95" s="85" t="s">
        <v>407</v>
      </c>
      <c r="AR95" s="85" t="s">
        <v>409</v>
      </c>
      <c r="AS95" s="85" t="s">
        <v>404</v>
      </c>
      <c r="AU95" s="85" t="s">
        <v>427</v>
      </c>
      <c r="AV95" s="85" t="s">
        <v>406</v>
      </c>
      <c r="AW95" s="85" t="s">
        <v>408</v>
      </c>
      <c r="AX95" s="85" t="s">
        <v>403</v>
      </c>
      <c r="AY95" s="85" t="s">
        <v>407</v>
      </c>
      <c r="AZ95" s="85" t="s">
        <v>409</v>
      </c>
      <c r="BA95" s="85" t="s">
        <v>404</v>
      </c>
    </row>
    <row r="96" spans="4:53">
      <c r="D96" s="283">
        <v>43629</v>
      </c>
      <c r="E96" s="85">
        <v>126.73</v>
      </c>
      <c r="F96" s="85">
        <v>127.10299999999999</v>
      </c>
      <c r="G96" s="85">
        <v>126.917</v>
      </c>
      <c r="H96" s="85">
        <v>2.581</v>
      </c>
      <c r="I96" s="85">
        <v>2.524</v>
      </c>
      <c r="J96" s="85">
        <v>2.552</v>
      </c>
      <c r="O96" s="283">
        <v>43412</v>
      </c>
      <c r="P96" s="85">
        <v>120.488</v>
      </c>
      <c r="Q96" s="85">
        <v>120.92</v>
      </c>
      <c r="R96" s="85">
        <v>120.70399999999999</v>
      </c>
      <c r="S96" s="85">
        <v>3.8460000000000001</v>
      </c>
      <c r="T96" s="85">
        <v>3.7800000000000002</v>
      </c>
      <c r="U96" s="85">
        <v>3.8129999999999997</v>
      </c>
      <c r="W96" s="283">
        <v>43433</v>
      </c>
      <c r="X96" s="85">
        <v>120.633</v>
      </c>
      <c r="Y96" s="85">
        <v>121.062</v>
      </c>
      <c r="Z96" s="85">
        <v>120.848</v>
      </c>
      <c r="AA96" s="85">
        <v>3.8</v>
      </c>
      <c r="AB96" s="85">
        <v>3.7349999999999999</v>
      </c>
      <c r="AC96" s="85">
        <v>3.7679999999999998</v>
      </c>
      <c r="AE96" s="283">
        <v>43620</v>
      </c>
      <c r="AF96" s="85">
        <v>126.212</v>
      </c>
      <c r="AG96" s="85">
        <v>126.414</v>
      </c>
      <c r="AH96" s="85">
        <v>126.313</v>
      </c>
      <c r="AI96" s="85">
        <v>2.68</v>
      </c>
      <c r="AJ96" s="85">
        <v>2.649</v>
      </c>
      <c r="AK96" s="85">
        <v>2.665</v>
      </c>
      <c r="AM96" s="283">
        <v>43626</v>
      </c>
      <c r="AN96" s="85">
        <v>126.61799999999999</v>
      </c>
      <c r="AO96" s="85">
        <v>126.986</v>
      </c>
      <c r="AP96" s="85">
        <v>126.80200000000001</v>
      </c>
      <c r="AQ96" s="85">
        <v>2.6070000000000002</v>
      </c>
      <c r="AR96" s="85">
        <v>2.5499999999999998</v>
      </c>
      <c r="AS96" s="85">
        <v>2.5789999999999997</v>
      </c>
      <c r="AU96" s="283">
        <v>43629</v>
      </c>
      <c r="AV96" s="85">
        <v>126.73</v>
      </c>
      <c r="AW96" s="85">
        <v>127.10299999999999</v>
      </c>
      <c r="AX96" s="85">
        <v>126.917</v>
      </c>
      <c r="AY96" s="85">
        <v>2.581</v>
      </c>
      <c r="AZ96" s="85">
        <v>2.524</v>
      </c>
      <c r="BA96" s="85">
        <v>2.552</v>
      </c>
    </row>
    <row r="97" spans="4:53">
      <c r="D97" s="283">
        <v>43628</v>
      </c>
      <c r="E97" s="85">
        <v>126.751</v>
      </c>
      <c r="F97" s="85">
        <v>127.15</v>
      </c>
      <c r="G97" s="85">
        <v>126.95099999999999</v>
      </c>
      <c r="H97" s="85">
        <v>2.5830000000000002</v>
      </c>
      <c r="I97" s="85">
        <v>2.5220000000000002</v>
      </c>
      <c r="J97" s="85">
        <v>2.552</v>
      </c>
      <c r="O97" s="283">
        <v>43411</v>
      </c>
      <c r="P97" s="85">
        <v>120.529</v>
      </c>
      <c r="Q97" s="85">
        <v>120.959</v>
      </c>
      <c r="R97" s="85">
        <v>120.744</v>
      </c>
      <c r="S97" s="85">
        <v>3.8439999999999999</v>
      </c>
      <c r="T97" s="85">
        <v>3.778</v>
      </c>
      <c r="U97" s="85">
        <v>3.8109999999999999</v>
      </c>
      <c r="W97" s="283">
        <v>43432</v>
      </c>
      <c r="X97" s="85">
        <v>120.496</v>
      </c>
      <c r="Y97" s="85">
        <v>120.92400000000001</v>
      </c>
      <c r="Z97" s="85">
        <v>120.71</v>
      </c>
      <c r="AA97" s="85">
        <v>3.8250000000000002</v>
      </c>
      <c r="AB97" s="85">
        <v>3.7589999999999999</v>
      </c>
      <c r="AC97" s="85">
        <v>3.7919999999999998</v>
      </c>
      <c r="AE97" s="283">
        <v>43619</v>
      </c>
      <c r="AF97" s="85">
        <v>125.84099999999999</v>
      </c>
      <c r="AG97" s="85">
        <v>125.97499999999999</v>
      </c>
      <c r="AH97" s="85">
        <v>125.908</v>
      </c>
      <c r="AI97" s="85">
        <v>2.74</v>
      </c>
      <c r="AJ97" s="85">
        <v>2.7189999999999999</v>
      </c>
      <c r="AK97" s="85">
        <v>2.7290000000000001</v>
      </c>
      <c r="AM97" s="283">
        <v>43623</v>
      </c>
      <c r="AN97" s="85">
        <v>126.783</v>
      </c>
      <c r="AO97" s="85">
        <v>127.056</v>
      </c>
      <c r="AP97" s="85">
        <v>126.92</v>
      </c>
      <c r="AQ97" s="85">
        <v>2.5830000000000002</v>
      </c>
      <c r="AR97" s="85">
        <v>2.5409999999999999</v>
      </c>
      <c r="AS97" s="85">
        <v>2.5620000000000003</v>
      </c>
      <c r="AU97" s="283">
        <v>43628</v>
      </c>
      <c r="AV97" s="85">
        <v>126.751</v>
      </c>
      <c r="AW97" s="85">
        <v>127.15</v>
      </c>
      <c r="AX97" s="85">
        <v>126.95099999999999</v>
      </c>
      <c r="AY97" s="85">
        <v>2.5830000000000002</v>
      </c>
      <c r="AZ97" s="85">
        <v>2.5220000000000002</v>
      </c>
      <c r="BA97" s="85">
        <v>2.552</v>
      </c>
    </row>
    <row r="98" spans="4:53">
      <c r="D98" s="283">
        <v>43627</v>
      </c>
      <c r="E98" s="85">
        <v>126.70699999999999</v>
      </c>
      <c r="F98" s="85">
        <v>127.111</v>
      </c>
      <c r="G98" s="85">
        <v>126.90900000000001</v>
      </c>
      <c r="H98" s="85">
        <v>2.5920000000000001</v>
      </c>
      <c r="I98" s="85">
        <v>2.5289999999999999</v>
      </c>
      <c r="J98" s="85">
        <v>2.56</v>
      </c>
      <c r="O98" s="283">
        <v>43410</v>
      </c>
      <c r="P98" s="85">
        <v>120.503</v>
      </c>
      <c r="Q98" s="85">
        <v>120.979</v>
      </c>
      <c r="R98" s="85">
        <v>120.741</v>
      </c>
      <c r="S98" s="85">
        <v>3.8490000000000002</v>
      </c>
      <c r="T98" s="85">
        <v>3.7770000000000001</v>
      </c>
      <c r="U98" s="85">
        <v>3.8129999999999997</v>
      </c>
      <c r="W98" s="283">
        <v>43431</v>
      </c>
      <c r="X98" s="85">
        <v>120.298</v>
      </c>
      <c r="Y98" s="85">
        <v>120.744</v>
      </c>
      <c r="Z98" s="85">
        <v>120.521</v>
      </c>
      <c r="AA98" s="85">
        <v>3.8570000000000002</v>
      </c>
      <c r="AB98" s="85">
        <v>3.7880000000000003</v>
      </c>
      <c r="AC98" s="85">
        <v>3.8220000000000001</v>
      </c>
      <c r="AE98" s="283">
        <v>43616</v>
      </c>
      <c r="AF98" s="85">
        <v>125.547</v>
      </c>
      <c r="AG98" s="85">
        <v>125.758</v>
      </c>
      <c r="AH98" s="85">
        <v>125.65300000000001</v>
      </c>
      <c r="AI98" s="85">
        <v>2.7869999999999999</v>
      </c>
      <c r="AJ98" s="85">
        <v>2.754</v>
      </c>
      <c r="AK98" s="85">
        <v>2.77</v>
      </c>
      <c r="AM98" s="283">
        <v>43622</v>
      </c>
      <c r="AN98" s="85">
        <v>126.545</v>
      </c>
      <c r="AO98" s="85">
        <v>126.863</v>
      </c>
      <c r="AP98" s="85">
        <v>126.70399999999999</v>
      </c>
      <c r="AQ98" s="85">
        <v>2.6219999999999999</v>
      </c>
      <c r="AR98" s="85">
        <v>2.573</v>
      </c>
      <c r="AS98" s="85">
        <v>2.597</v>
      </c>
      <c r="AU98" s="283">
        <v>43627</v>
      </c>
      <c r="AV98" s="85">
        <v>126.70699999999999</v>
      </c>
      <c r="AW98" s="85">
        <v>127.111</v>
      </c>
      <c r="AX98" s="85">
        <v>126.90900000000001</v>
      </c>
      <c r="AY98" s="85">
        <v>2.5920000000000001</v>
      </c>
      <c r="AZ98" s="85">
        <v>2.5289999999999999</v>
      </c>
      <c r="BA98" s="85">
        <v>2.56</v>
      </c>
    </row>
    <row r="99" spans="4:53">
      <c r="D99" s="85" t="s">
        <v>233</v>
      </c>
      <c r="O99" s="85" t="s">
        <v>233</v>
      </c>
      <c r="W99" s="85" t="s">
        <v>233</v>
      </c>
      <c r="AE99" s="85" t="s">
        <v>233</v>
      </c>
      <c r="AM99" s="85" t="s">
        <v>233</v>
      </c>
      <c r="AU99" s="85" t="s">
        <v>233</v>
      </c>
    </row>
    <row r="100" spans="4:53">
      <c r="D100" s="85" t="s">
        <v>481</v>
      </c>
      <c r="O100" s="85" t="s">
        <v>481</v>
      </c>
      <c r="W100" s="85" t="s">
        <v>481</v>
      </c>
      <c r="AE100" s="85" t="s">
        <v>481</v>
      </c>
      <c r="AM100" s="85" t="s">
        <v>481</v>
      </c>
      <c r="AU100" s="85" t="s">
        <v>481</v>
      </c>
    </row>
    <row r="101" spans="4:53">
      <c r="E101" s="85" t="s">
        <v>327</v>
      </c>
      <c r="F101" s="85" t="s">
        <v>328</v>
      </c>
      <c r="G101" s="85" t="s">
        <v>329</v>
      </c>
      <c r="H101" s="85" t="s">
        <v>330</v>
      </c>
      <c r="I101" s="85" t="s">
        <v>331</v>
      </c>
      <c r="J101" s="85" t="s">
        <v>333</v>
      </c>
      <c r="P101" s="85" t="s">
        <v>327</v>
      </c>
      <c r="Q101" s="85" t="s">
        <v>328</v>
      </c>
      <c r="R101" s="85" t="s">
        <v>329</v>
      </c>
      <c r="S101" s="85" t="s">
        <v>330</v>
      </c>
      <c r="T101" s="85" t="s">
        <v>331</v>
      </c>
      <c r="U101" s="85" t="s">
        <v>333</v>
      </c>
      <c r="X101" s="85" t="s">
        <v>327</v>
      </c>
      <c r="Y101" s="85" t="s">
        <v>328</v>
      </c>
      <c r="Z101" s="85" t="s">
        <v>329</v>
      </c>
      <c r="AA101" s="85" t="s">
        <v>330</v>
      </c>
      <c r="AB101" s="85" t="s">
        <v>331</v>
      </c>
      <c r="AC101" s="85" t="s">
        <v>333</v>
      </c>
      <c r="AF101" s="85" t="s">
        <v>327</v>
      </c>
      <c r="AG101" s="85" t="s">
        <v>328</v>
      </c>
      <c r="AH101" s="85" t="s">
        <v>329</v>
      </c>
      <c r="AI101" s="85" t="s">
        <v>330</v>
      </c>
      <c r="AJ101" s="85" t="s">
        <v>331</v>
      </c>
      <c r="AK101" s="85" t="s">
        <v>333</v>
      </c>
      <c r="AN101" s="85" t="s">
        <v>327</v>
      </c>
      <c r="AO101" s="85" t="s">
        <v>328</v>
      </c>
      <c r="AP101" s="85" t="s">
        <v>329</v>
      </c>
      <c r="AQ101" s="85" t="s">
        <v>330</v>
      </c>
      <c r="AR101" s="85" t="s">
        <v>331</v>
      </c>
      <c r="AS101" s="85" t="s">
        <v>333</v>
      </c>
      <c r="AV101" s="85" t="s">
        <v>327</v>
      </c>
      <c r="AW101" s="85" t="s">
        <v>328</v>
      </c>
      <c r="AX101" s="85" t="s">
        <v>329</v>
      </c>
      <c r="AY101" s="85" t="s">
        <v>330</v>
      </c>
      <c r="AZ101" s="85" t="s">
        <v>331</v>
      </c>
      <c r="BA101" s="85" t="s">
        <v>333</v>
      </c>
    </row>
    <row r="102" spans="4:53">
      <c r="D102" s="85" t="s">
        <v>427</v>
      </c>
      <c r="E102" s="85" t="s">
        <v>406</v>
      </c>
      <c r="F102" s="85" t="s">
        <v>408</v>
      </c>
      <c r="G102" s="85" t="s">
        <v>403</v>
      </c>
      <c r="H102" s="85" t="s">
        <v>407</v>
      </c>
      <c r="I102" s="85" t="s">
        <v>409</v>
      </c>
      <c r="J102" s="85" t="s">
        <v>404</v>
      </c>
      <c r="O102" s="85" t="s">
        <v>427</v>
      </c>
      <c r="P102" s="85" t="s">
        <v>406</v>
      </c>
      <c r="Q102" s="85" t="s">
        <v>408</v>
      </c>
      <c r="R102" s="85" t="s">
        <v>403</v>
      </c>
      <c r="S102" s="85" t="s">
        <v>407</v>
      </c>
      <c r="T102" s="85" t="s">
        <v>409</v>
      </c>
      <c r="U102" s="85" t="s">
        <v>404</v>
      </c>
      <c r="W102" s="85" t="s">
        <v>427</v>
      </c>
      <c r="X102" s="85" t="s">
        <v>406</v>
      </c>
      <c r="Y102" s="85" t="s">
        <v>408</v>
      </c>
      <c r="Z102" s="85" t="s">
        <v>403</v>
      </c>
      <c r="AA102" s="85" t="s">
        <v>407</v>
      </c>
      <c r="AB102" s="85" t="s">
        <v>409</v>
      </c>
      <c r="AC102" s="85" t="s">
        <v>404</v>
      </c>
      <c r="AE102" s="85" t="s">
        <v>427</v>
      </c>
      <c r="AF102" s="85" t="s">
        <v>406</v>
      </c>
      <c r="AG102" s="85" t="s">
        <v>408</v>
      </c>
      <c r="AH102" s="85" t="s">
        <v>403</v>
      </c>
      <c r="AI102" s="85" t="s">
        <v>407</v>
      </c>
      <c r="AJ102" s="85" t="s">
        <v>409</v>
      </c>
      <c r="AK102" s="85" t="s">
        <v>404</v>
      </c>
      <c r="AM102" s="85" t="s">
        <v>427</v>
      </c>
      <c r="AN102" s="85" t="s">
        <v>406</v>
      </c>
      <c r="AO102" s="85" t="s">
        <v>408</v>
      </c>
      <c r="AP102" s="85" t="s">
        <v>403</v>
      </c>
      <c r="AQ102" s="85" t="s">
        <v>407</v>
      </c>
      <c r="AR102" s="85" t="s">
        <v>409</v>
      </c>
      <c r="AS102" s="85" t="s">
        <v>404</v>
      </c>
      <c r="AU102" s="85" t="s">
        <v>427</v>
      </c>
      <c r="AV102" s="85" t="s">
        <v>406</v>
      </c>
      <c r="AW102" s="85" t="s">
        <v>408</v>
      </c>
      <c r="AX102" s="85" t="s">
        <v>403</v>
      </c>
      <c r="AY102" s="85" t="s">
        <v>407</v>
      </c>
      <c r="AZ102" s="85" t="s">
        <v>409</v>
      </c>
      <c r="BA102" s="85" t="s">
        <v>404</v>
      </c>
    </row>
    <row r="103" spans="4:53">
      <c r="D103" s="283">
        <v>43629</v>
      </c>
      <c r="E103" s="85">
        <v>113.23</v>
      </c>
      <c r="F103" s="85">
        <v>113.646</v>
      </c>
      <c r="G103" s="85">
        <v>113.438</v>
      </c>
      <c r="H103" s="85">
        <v>0.69799999999999995</v>
      </c>
      <c r="I103" s="85">
        <v>0.63900000000000001</v>
      </c>
      <c r="J103" s="85">
        <v>0.66800000000000004</v>
      </c>
      <c r="O103" s="283">
        <v>43412</v>
      </c>
      <c r="P103" s="85">
        <v>108.354</v>
      </c>
      <c r="Q103" s="85">
        <v>109.041</v>
      </c>
      <c r="R103" s="85">
        <v>108.697</v>
      </c>
      <c r="S103" s="85">
        <v>1.5190000000000001</v>
      </c>
      <c r="T103" s="85">
        <v>1.4219999999999999</v>
      </c>
      <c r="U103" s="85">
        <v>1.47</v>
      </c>
      <c r="W103" s="283">
        <v>43433</v>
      </c>
      <c r="X103" s="85">
        <v>107.938</v>
      </c>
      <c r="Y103" s="85">
        <v>108.625</v>
      </c>
      <c r="Z103" s="85">
        <v>108.282</v>
      </c>
      <c r="AA103" s="85">
        <v>1.569</v>
      </c>
      <c r="AB103" s="85">
        <v>1.4710000000000001</v>
      </c>
      <c r="AC103" s="85">
        <v>1.52</v>
      </c>
      <c r="AE103" s="283">
        <v>43620</v>
      </c>
      <c r="AF103" s="85">
        <v>112.73099999999999</v>
      </c>
      <c r="AG103" s="85">
        <v>113.294</v>
      </c>
      <c r="AH103" s="85">
        <v>113.012</v>
      </c>
      <c r="AI103" s="85">
        <v>0.77800000000000002</v>
      </c>
      <c r="AJ103" s="85">
        <v>0.69799999999999995</v>
      </c>
      <c r="AK103" s="85">
        <v>0.73799999999999999</v>
      </c>
      <c r="AM103" s="283">
        <v>43626</v>
      </c>
      <c r="AN103" s="85">
        <v>112.931</v>
      </c>
      <c r="AO103" s="85">
        <v>113.494</v>
      </c>
      <c r="AP103" s="85">
        <v>113.21299999999999</v>
      </c>
      <c r="AQ103" s="85">
        <v>0.745</v>
      </c>
      <c r="AR103" s="85">
        <v>0.66400000000000003</v>
      </c>
      <c r="AS103" s="85">
        <v>0.70499999999999996</v>
      </c>
      <c r="AU103" s="283">
        <v>43629</v>
      </c>
      <c r="AV103" s="85">
        <v>113.23</v>
      </c>
      <c r="AW103" s="85">
        <v>113.646</v>
      </c>
      <c r="AX103" s="85">
        <v>113.438</v>
      </c>
      <c r="AY103" s="85">
        <v>0.69799999999999995</v>
      </c>
      <c r="AZ103" s="85">
        <v>0.63900000000000001</v>
      </c>
      <c r="BA103" s="85">
        <v>0.66800000000000004</v>
      </c>
    </row>
    <row r="104" spans="4:53">
      <c r="D104" s="283">
        <v>43628</v>
      </c>
      <c r="E104" s="85">
        <v>113.125</v>
      </c>
      <c r="F104" s="85">
        <v>113.688</v>
      </c>
      <c r="G104" s="85">
        <v>113.407</v>
      </c>
      <c r="H104" s="85">
        <v>0.71599999999999997</v>
      </c>
      <c r="I104" s="85">
        <v>0.63500000000000001</v>
      </c>
      <c r="J104" s="85">
        <v>0.67500000000000004</v>
      </c>
      <c r="O104" s="283">
        <v>43411</v>
      </c>
      <c r="P104" s="85">
        <v>108.387</v>
      </c>
      <c r="Q104" s="85">
        <v>109.05</v>
      </c>
      <c r="R104" s="85">
        <v>108.71899999999999</v>
      </c>
      <c r="S104" s="85">
        <v>1.5150000000000001</v>
      </c>
      <c r="T104" s="85">
        <v>1.4219999999999999</v>
      </c>
      <c r="U104" s="85">
        <v>1.4689999999999999</v>
      </c>
      <c r="W104" s="283">
        <v>43432</v>
      </c>
      <c r="X104" s="85">
        <v>107.913</v>
      </c>
      <c r="Y104" s="85">
        <v>108.6</v>
      </c>
      <c r="Z104" s="85">
        <v>108.256</v>
      </c>
      <c r="AA104" s="85">
        <v>1.573</v>
      </c>
      <c r="AB104" s="85">
        <v>1.476</v>
      </c>
      <c r="AC104" s="85">
        <v>1.5249999999999999</v>
      </c>
      <c r="AE104" s="283">
        <v>43619</v>
      </c>
      <c r="AF104" s="85">
        <v>112.694</v>
      </c>
      <c r="AG104" s="85">
        <v>113.28100000000001</v>
      </c>
      <c r="AH104" s="85">
        <v>112.988</v>
      </c>
      <c r="AI104" s="85">
        <v>0.78400000000000003</v>
      </c>
      <c r="AJ104" s="85">
        <v>0.7</v>
      </c>
      <c r="AK104" s="85">
        <v>0.74199999999999999</v>
      </c>
      <c r="AM104" s="283">
        <v>43623</v>
      </c>
      <c r="AN104" s="85">
        <v>112.90600000000001</v>
      </c>
      <c r="AO104" s="85">
        <v>113.46899999999999</v>
      </c>
      <c r="AP104" s="85">
        <v>113.188</v>
      </c>
      <c r="AQ104" s="85">
        <v>0.749</v>
      </c>
      <c r="AR104" s="85">
        <v>0.66900000000000004</v>
      </c>
      <c r="AS104" s="85">
        <v>0.70899999999999996</v>
      </c>
      <c r="AU104" s="283">
        <v>43628</v>
      </c>
      <c r="AV104" s="85">
        <v>113.125</v>
      </c>
      <c r="AW104" s="85">
        <v>113.688</v>
      </c>
      <c r="AX104" s="85">
        <v>113.407</v>
      </c>
      <c r="AY104" s="85">
        <v>0.71599999999999997</v>
      </c>
      <c r="AZ104" s="85">
        <v>0.63500000000000001</v>
      </c>
      <c r="BA104" s="85">
        <v>0.67500000000000004</v>
      </c>
    </row>
    <row r="105" spans="4:53">
      <c r="D105" s="283">
        <v>43627</v>
      </c>
      <c r="E105" s="85">
        <v>113.081</v>
      </c>
      <c r="F105" s="85">
        <v>113.64400000000001</v>
      </c>
      <c r="G105" s="85">
        <v>113.363</v>
      </c>
      <c r="H105" s="85">
        <v>0.72299999999999998</v>
      </c>
      <c r="I105" s="85">
        <v>0.64200000000000002</v>
      </c>
      <c r="J105" s="85">
        <v>0.68200000000000005</v>
      </c>
      <c r="O105" s="283">
        <v>43410</v>
      </c>
      <c r="P105" s="85">
        <v>108.387</v>
      </c>
      <c r="Q105" s="85">
        <v>109.05</v>
      </c>
      <c r="R105" s="85">
        <v>108.71899999999999</v>
      </c>
      <c r="S105" s="85">
        <v>1.516</v>
      </c>
      <c r="T105" s="85">
        <v>1.423</v>
      </c>
      <c r="U105" s="85">
        <v>1.4689999999999999</v>
      </c>
      <c r="W105" s="283">
        <v>43431</v>
      </c>
      <c r="X105" s="85">
        <v>107.887</v>
      </c>
      <c r="Y105" s="85">
        <v>108.575</v>
      </c>
      <c r="Z105" s="85">
        <v>108.23099999999999</v>
      </c>
      <c r="AA105" s="85">
        <v>1.5779999999999998</v>
      </c>
      <c r="AB105" s="85">
        <v>1.48</v>
      </c>
      <c r="AC105" s="85">
        <v>1.5289999999999999</v>
      </c>
      <c r="AE105" s="283">
        <v>43616</v>
      </c>
      <c r="AF105" s="85">
        <v>112.688</v>
      </c>
      <c r="AG105" s="85">
        <v>113.238</v>
      </c>
      <c r="AH105" s="85">
        <v>112.96299999999999</v>
      </c>
      <c r="AI105" s="85">
        <v>0.78600000000000003</v>
      </c>
      <c r="AJ105" s="85">
        <v>0.70699999999999996</v>
      </c>
      <c r="AK105" s="85">
        <v>0.746</v>
      </c>
      <c r="AM105" s="283">
        <v>43622</v>
      </c>
      <c r="AN105" s="85">
        <v>112.78100000000001</v>
      </c>
      <c r="AO105" s="85">
        <v>113.34399999999999</v>
      </c>
      <c r="AP105" s="85">
        <v>113.063</v>
      </c>
      <c r="AQ105" s="85">
        <v>0.76800000000000002</v>
      </c>
      <c r="AR105" s="85">
        <v>0.68700000000000006</v>
      </c>
      <c r="AS105" s="85">
        <v>0.72799999999999998</v>
      </c>
      <c r="AU105" s="283">
        <v>43627</v>
      </c>
      <c r="AV105" s="85">
        <v>113.081</v>
      </c>
      <c r="AW105" s="85">
        <v>113.64400000000001</v>
      </c>
      <c r="AX105" s="85">
        <v>113.363</v>
      </c>
      <c r="AY105" s="85">
        <v>0.72299999999999998</v>
      </c>
      <c r="AZ105" s="85">
        <v>0.64200000000000002</v>
      </c>
      <c r="BA105" s="85">
        <v>0.68200000000000005</v>
      </c>
    </row>
    <row r="106" spans="4:53">
      <c r="D106" s="85" t="s">
        <v>242</v>
      </c>
      <c r="O106" s="85" t="s">
        <v>242</v>
      </c>
      <c r="W106" s="85" t="s">
        <v>242</v>
      </c>
      <c r="AE106" s="85" t="s">
        <v>242</v>
      </c>
      <c r="AM106" s="85" t="s">
        <v>242</v>
      </c>
      <c r="AU106" s="85" t="s">
        <v>242</v>
      </c>
    </row>
    <row r="107" spans="4:53">
      <c r="D107" s="85" t="s">
        <v>482</v>
      </c>
      <c r="O107" s="85" t="s">
        <v>482</v>
      </c>
      <c r="W107" s="85" t="s">
        <v>482</v>
      </c>
      <c r="AE107" s="85" t="s">
        <v>482</v>
      </c>
      <c r="AM107" s="85" t="s">
        <v>482</v>
      </c>
      <c r="AU107" s="85" t="s">
        <v>482</v>
      </c>
    </row>
    <row r="108" spans="4:53">
      <c r="E108" s="85" t="s">
        <v>327</v>
      </c>
      <c r="F108" s="85" t="s">
        <v>328</v>
      </c>
      <c r="G108" s="85" t="s">
        <v>329</v>
      </c>
      <c r="H108" s="85" t="s">
        <v>330</v>
      </c>
      <c r="I108" s="85" t="s">
        <v>331</v>
      </c>
      <c r="J108" s="85" t="s">
        <v>333</v>
      </c>
      <c r="P108" s="85" t="s">
        <v>327</v>
      </c>
      <c r="Q108" s="85" t="s">
        <v>328</v>
      </c>
      <c r="R108" s="85" t="s">
        <v>329</v>
      </c>
      <c r="S108" s="85" t="s">
        <v>330</v>
      </c>
      <c r="T108" s="85" t="s">
        <v>331</v>
      </c>
      <c r="U108" s="85" t="s">
        <v>333</v>
      </c>
      <c r="X108" s="85" t="s">
        <v>327</v>
      </c>
      <c r="Y108" s="85" t="s">
        <v>328</v>
      </c>
      <c r="Z108" s="85" t="s">
        <v>329</v>
      </c>
      <c r="AA108" s="85" t="s">
        <v>330</v>
      </c>
      <c r="AB108" s="85" t="s">
        <v>331</v>
      </c>
      <c r="AC108" s="85" t="s">
        <v>333</v>
      </c>
      <c r="AF108" s="85" t="s">
        <v>327</v>
      </c>
      <c r="AG108" s="85" t="s">
        <v>328</v>
      </c>
      <c r="AH108" s="85" t="s">
        <v>329</v>
      </c>
      <c r="AI108" s="85" t="s">
        <v>330</v>
      </c>
      <c r="AJ108" s="85" t="s">
        <v>331</v>
      </c>
      <c r="AK108" s="85" t="s">
        <v>333</v>
      </c>
      <c r="AN108" s="85" t="s">
        <v>327</v>
      </c>
      <c r="AO108" s="85" t="s">
        <v>328</v>
      </c>
      <c r="AP108" s="85" t="s">
        <v>329</v>
      </c>
      <c r="AQ108" s="85" t="s">
        <v>330</v>
      </c>
      <c r="AR108" s="85" t="s">
        <v>331</v>
      </c>
      <c r="AS108" s="85" t="s">
        <v>333</v>
      </c>
      <c r="AV108" s="85" t="s">
        <v>327</v>
      </c>
      <c r="AW108" s="85" t="s">
        <v>328</v>
      </c>
      <c r="AX108" s="85" t="s">
        <v>329</v>
      </c>
      <c r="AY108" s="85" t="s">
        <v>330</v>
      </c>
      <c r="AZ108" s="85" t="s">
        <v>331</v>
      </c>
      <c r="BA108" s="85" t="s">
        <v>333</v>
      </c>
    </row>
    <row r="109" spans="4:53">
      <c r="D109" s="85" t="s">
        <v>427</v>
      </c>
      <c r="E109" s="85" t="s">
        <v>406</v>
      </c>
      <c r="F109" s="85" t="s">
        <v>408</v>
      </c>
      <c r="G109" s="85" t="s">
        <v>403</v>
      </c>
      <c r="H109" s="85" t="s">
        <v>407</v>
      </c>
      <c r="I109" s="85" t="s">
        <v>409</v>
      </c>
      <c r="J109" s="85" t="s">
        <v>404</v>
      </c>
      <c r="O109" s="85" t="s">
        <v>427</v>
      </c>
      <c r="P109" s="85" t="s">
        <v>406</v>
      </c>
      <c r="Q109" s="85" t="s">
        <v>408</v>
      </c>
      <c r="R109" s="85" t="s">
        <v>403</v>
      </c>
      <c r="S109" s="85" t="s">
        <v>407</v>
      </c>
      <c r="T109" s="85" t="s">
        <v>409</v>
      </c>
      <c r="U109" s="85" t="s">
        <v>404</v>
      </c>
      <c r="W109" s="85" t="s">
        <v>427</v>
      </c>
      <c r="X109" s="85" t="s">
        <v>406</v>
      </c>
      <c r="Y109" s="85" t="s">
        <v>408</v>
      </c>
      <c r="Z109" s="85" t="s">
        <v>403</v>
      </c>
      <c r="AA109" s="85" t="s">
        <v>407</v>
      </c>
      <c r="AB109" s="85" t="s">
        <v>409</v>
      </c>
      <c r="AC109" s="85" t="s">
        <v>404</v>
      </c>
      <c r="AE109" s="85" t="s">
        <v>427</v>
      </c>
      <c r="AF109" s="85" t="s">
        <v>406</v>
      </c>
      <c r="AG109" s="85" t="s">
        <v>408</v>
      </c>
      <c r="AH109" s="85" t="s">
        <v>403</v>
      </c>
      <c r="AI109" s="85" t="s">
        <v>407</v>
      </c>
      <c r="AJ109" s="85" t="s">
        <v>409</v>
      </c>
      <c r="AK109" s="85" t="s">
        <v>404</v>
      </c>
      <c r="AM109" s="85" t="s">
        <v>427</v>
      </c>
      <c r="AN109" s="85" t="s">
        <v>406</v>
      </c>
      <c r="AO109" s="85" t="s">
        <v>408</v>
      </c>
      <c r="AP109" s="85" t="s">
        <v>403</v>
      </c>
      <c r="AQ109" s="85" t="s">
        <v>407</v>
      </c>
      <c r="AR109" s="85" t="s">
        <v>409</v>
      </c>
      <c r="AS109" s="85" t="s">
        <v>404</v>
      </c>
      <c r="AU109" s="85" t="s">
        <v>427</v>
      </c>
      <c r="AV109" s="85" t="s">
        <v>406</v>
      </c>
      <c r="AW109" s="85" t="s">
        <v>408</v>
      </c>
      <c r="AX109" s="85" t="s">
        <v>403</v>
      </c>
      <c r="AY109" s="85" t="s">
        <v>407</v>
      </c>
      <c r="AZ109" s="85" t="s">
        <v>409</v>
      </c>
      <c r="BA109" s="85" t="s">
        <v>404</v>
      </c>
    </row>
    <row r="110" spans="4:53">
      <c r="D110" s="283">
        <v>43629</v>
      </c>
      <c r="E110" s="85">
        <v>110.819</v>
      </c>
      <c r="F110" s="85">
        <v>111.166</v>
      </c>
      <c r="G110" s="85">
        <v>110.99299999999999</v>
      </c>
      <c r="H110" s="85">
        <v>2.6459999999999999</v>
      </c>
      <c r="I110" s="85">
        <v>2.6019999999999999</v>
      </c>
      <c r="J110" s="85">
        <v>2.6240000000000001</v>
      </c>
      <c r="O110" s="283">
        <v>43412</v>
      </c>
      <c r="P110" s="85">
        <v>100.821</v>
      </c>
      <c r="Q110" s="85">
        <v>101.255</v>
      </c>
      <c r="R110" s="85">
        <v>101.038</v>
      </c>
      <c r="S110" s="85">
        <v>4.0119999999999996</v>
      </c>
      <c r="T110" s="85">
        <v>3.9539999999999997</v>
      </c>
      <c r="U110" s="85">
        <v>3.9830000000000001</v>
      </c>
      <c r="W110" s="283">
        <v>43433</v>
      </c>
      <c r="X110" s="85">
        <v>101.426</v>
      </c>
      <c r="Y110" s="85">
        <v>101.624</v>
      </c>
      <c r="Z110" s="85">
        <v>101.52500000000001</v>
      </c>
      <c r="AA110" s="85">
        <v>3.93</v>
      </c>
      <c r="AB110" s="85">
        <v>3.903</v>
      </c>
      <c r="AC110" s="85">
        <v>3.9159999999999999</v>
      </c>
      <c r="AE110" s="283">
        <v>43620</v>
      </c>
      <c r="AF110" s="85">
        <v>110.325</v>
      </c>
      <c r="AG110" s="85">
        <v>110.54600000000001</v>
      </c>
      <c r="AH110" s="85">
        <v>110.43600000000001</v>
      </c>
      <c r="AI110" s="85">
        <v>2.7149999999999999</v>
      </c>
      <c r="AJ110" s="85">
        <v>2.6859999999999999</v>
      </c>
      <c r="AK110" s="85">
        <v>2.7</v>
      </c>
      <c r="AM110" s="283">
        <v>43626</v>
      </c>
      <c r="AN110" s="85">
        <v>110.819</v>
      </c>
      <c r="AO110" s="85">
        <v>111.137</v>
      </c>
      <c r="AP110" s="85">
        <v>110.97799999999999</v>
      </c>
      <c r="AQ110" s="85">
        <v>2.6480000000000001</v>
      </c>
      <c r="AR110" s="85">
        <v>2.6080000000000001</v>
      </c>
      <c r="AS110" s="85">
        <v>2.6280000000000001</v>
      </c>
      <c r="AU110" s="283">
        <v>43629</v>
      </c>
      <c r="AV110" s="85">
        <v>110.819</v>
      </c>
      <c r="AW110" s="85">
        <v>111.166</v>
      </c>
      <c r="AX110" s="85">
        <v>110.99299999999999</v>
      </c>
      <c r="AY110" s="85">
        <v>2.6459999999999999</v>
      </c>
      <c r="AZ110" s="85">
        <v>2.6019999999999999</v>
      </c>
      <c r="BA110" s="85">
        <v>2.6240000000000001</v>
      </c>
    </row>
    <row r="111" spans="4:53">
      <c r="D111" s="283">
        <v>43628</v>
      </c>
      <c r="E111" s="85">
        <v>110.932</v>
      </c>
      <c r="F111" s="85">
        <v>111.252</v>
      </c>
      <c r="G111" s="85">
        <v>111.092</v>
      </c>
      <c r="H111" s="85">
        <v>2.633</v>
      </c>
      <c r="I111" s="85">
        <v>2.5920000000000001</v>
      </c>
      <c r="J111" s="85">
        <v>2.613</v>
      </c>
      <c r="O111" s="283">
        <v>43411</v>
      </c>
      <c r="P111" s="85">
        <v>100.867</v>
      </c>
      <c r="Q111" s="85">
        <v>101.273</v>
      </c>
      <c r="R111" s="85">
        <v>101.07</v>
      </c>
      <c r="S111" s="85">
        <v>4.0060000000000002</v>
      </c>
      <c r="T111" s="85">
        <v>3.952</v>
      </c>
      <c r="U111" s="85">
        <v>3.9790000000000001</v>
      </c>
      <c r="W111" s="283">
        <v>43432</v>
      </c>
      <c r="X111" s="85">
        <v>101.179</v>
      </c>
      <c r="Y111" s="85">
        <v>101.271</v>
      </c>
      <c r="Z111" s="85">
        <v>101.22499999999999</v>
      </c>
      <c r="AA111" s="85">
        <v>3.9630000000000001</v>
      </c>
      <c r="AB111" s="85">
        <v>3.9510000000000001</v>
      </c>
      <c r="AC111" s="85">
        <v>3.9569999999999999</v>
      </c>
      <c r="AE111" s="283">
        <v>43619</v>
      </c>
      <c r="AF111" s="85">
        <v>109.97199999999999</v>
      </c>
      <c r="AG111" s="85">
        <v>110.232</v>
      </c>
      <c r="AH111" s="85">
        <v>110.102</v>
      </c>
      <c r="AI111" s="85">
        <v>2.7610000000000001</v>
      </c>
      <c r="AJ111" s="85">
        <v>2.7269999999999999</v>
      </c>
      <c r="AK111" s="85">
        <v>2.7439999999999998</v>
      </c>
      <c r="AM111" s="283">
        <v>43623</v>
      </c>
      <c r="AN111" s="85">
        <v>110.931</v>
      </c>
      <c r="AO111" s="85">
        <v>111.229</v>
      </c>
      <c r="AP111" s="85">
        <v>111.08</v>
      </c>
      <c r="AQ111" s="85">
        <v>2.6349999999999998</v>
      </c>
      <c r="AR111" s="85">
        <v>2.5960000000000001</v>
      </c>
      <c r="AS111" s="85">
        <v>2.6150000000000002</v>
      </c>
      <c r="AU111" s="283">
        <v>43628</v>
      </c>
      <c r="AV111" s="85">
        <v>110.932</v>
      </c>
      <c r="AW111" s="85">
        <v>111.252</v>
      </c>
      <c r="AX111" s="85">
        <v>111.092</v>
      </c>
      <c r="AY111" s="85">
        <v>2.633</v>
      </c>
      <c r="AZ111" s="85">
        <v>2.5920000000000001</v>
      </c>
      <c r="BA111" s="85">
        <v>2.613</v>
      </c>
    </row>
    <row r="112" spans="4:53">
      <c r="D112" s="283">
        <v>43627</v>
      </c>
      <c r="E112" s="85">
        <v>110.93600000000001</v>
      </c>
      <c r="F112" s="85">
        <v>111.252</v>
      </c>
      <c r="G112" s="85">
        <v>111.09399999999999</v>
      </c>
      <c r="H112" s="85">
        <v>2.633</v>
      </c>
      <c r="I112" s="85">
        <v>2.593</v>
      </c>
      <c r="J112" s="85">
        <v>2.613</v>
      </c>
      <c r="O112" s="283">
        <v>43410</v>
      </c>
      <c r="P112" s="85">
        <v>100.896</v>
      </c>
      <c r="Q112" s="85">
        <v>101.26300000000001</v>
      </c>
      <c r="R112" s="85">
        <v>101.07899999999999</v>
      </c>
      <c r="S112" s="85">
        <v>4.0030000000000001</v>
      </c>
      <c r="T112" s="85">
        <v>3.9529999999999998</v>
      </c>
      <c r="U112" s="85">
        <v>3.9779999999999998</v>
      </c>
      <c r="W112" s="283">
        <v>43431</v>
      </c>
      <c r="X112" s="85">
        <v>100.69199999999999</v>
      </c>
      <c r="Y112" s="85">
        <v>101.163</v>
      </c>
      <c r="Z112" s="85">
        <v>100.928</v>
      </c>
      <c r="AA112" s="85">
        <v>4.03</v>
      </c>
      <c r="AB112" s="85">
        <v>3.9660000000000002</v>
      </c>
      <c r="AC112" s="85">
        <v>3.9969999999999999</v>
      </c>
      <c r="AE112" s="283">
        <v>43616</v>
      </c>
      <c r="AF112" s="85">
        <v>109.726</v>
      </c>
      <c r="AG112" s="85">
        <v>109.97799999999999</v>
      </c>
      <c r="AH112" s="85">
        <v>109.852</v>
      </c>
      <c r="AI112" s="85">
        <v>2.7930000000000001</v>
      </c>
      <c r="AJ112" s="85">
        <v>2.76</v>
      </c>
      <c r="AK112" s="85">
        <v>2.7759999999999998</v>
      </c>
      <c r="AM112" s="283">
        <v>43622</v>
      </c>
      <c r="AN112" s="85">
        <v>110.643</v>
      </c>
      <c r="AO112" s="85">
        <v>110.962</v>
      </c>
      <c r="AP112" s="85">
        <v>110.803</v>
      </c>
      <c r="AQ112" s="85">
        <v>2.6720000000000002</v>
      </c>
      <c r="AR112" s="85">
        <v>2.6310000000000002</v>
      </c>
      <c r="AS112" s="85">
        <v>2.6509999999999998</v>
      </c>
      <c r="AU112" s="283">
        <v>43627</v>
      </c>
      <c r="AV112" s="85">
        <v>110.93600000000001</v>
      </c>
      <c r="AW112" s="85">
        <v>111.252</v>
      </c>
      <c r="AX112" s="85">
        <v>111.09399999999999</v>
      </c>
      <c r="AY112" s="85">
        <v>2.633</v>
      </c>
      <c r="AZ112" s="85">
        <v>2.593</v>
      </c>
      <c r="BA112" s="85">
        <v>2.613</v>
      </c>
    </row>
    <row r="113" spans="4:53">
      <c r="D113" s="85" t="s">
        <v>247</v>
      </c>
      <c r="O113" s="85" t="s">
        <v>247</v>
      </c>
      <c r="W113" s="85" t="s">
        <v>247</v>
      </c>
      <c r="AE113" s="85" t="s">
        <v>247</v>
      </c>
      <c r="AM113" s="85" t="s">
        <v>247</v>
      </c>
      <c r="AU113" s="85" t="s">
        <v>247</v>
      </c>
    </row>
    <row r="114" spans="4:53">
      <c r="D114" s="85" t="s">
        <v>483</v>
      </c>
      <c r="O114" s="85" t="s">
        <v>483</v>
      </c>
      <c r="W114" s="85" t="s">
        <v>483</v>
      </c>
      <c r="AE114" s="85" t="s">
        <v>483</v>
      </c>
      <c r="AM114" s="85" t="s">
        <v>483</v>
      </c>
      <c r="AU114" s="85" t="s">
        <v>483</v>
      </c>
    </row>
    <row r="115" spans="4:53">
      <c r="E115" s="85" t="s">
        <v>327</v>
      </c>
      <c r="F115" s="85" t="s">
        <v>328</v>
      </c>
      <c r="G115" s="85" t="s">
        <v>329</v>
      </c>
      <c r="H115" s="85" t="s">
        <v>330</v>
      </c>
      <c r="I115" s="85" t="s">
        <v>331</v>
      </c>
      <c r="J115" s="85" t="s">
        <v>333</v>
      </c>
      <c r="P115" s="85" t="s">
        <v>327</v>
      </c>
      <c r="Q115" s="85" t="s">
        <v>328</v>
      </c>
      <c r="R115" s="85" t="s">
        <v>329</v>
      </c>
      <c r="S115" s="85" t="s">
        <v>330</v>
      </c>
      <c r="T115" s="85" t="s">
        <v>331</v>
      </c>
      <c r="U115" s="85" t="s">
        <v>333</v>
      </c>
      <c r="X115" s="85" t="s">
        <v>327</v>
      </c>
      <c r="Y115" s="85" t="s">
        <v>328</v>
      </c>
      <c r="Z115" s="85" t="s">
        <v>329</v>
      </c>
      <c r="AA115" s="85" t="s">
        <v>330</v>
      </c>
      <c r="AB115" s="85" t="s">
        <v>331</v>
      </c>
      <c r="AC115" s="85" t="s">
        <v>333</v>
      </c>
      <c r="AF115" s="85" t="s">
        <v>327</v>
      </c>
      <c r="AG115" s="85" t="s">
        <v>328</v>
      </c>
      <c r="AH115" s="85" t="s">
        <v>329</v>
      </c>
      <c r="AI115" s="85" t="s">
        <v>330</v>
      </c>
      <c r="AJ115" s="85" t="s">
        <v>331</v>
      </c>
      <c r="AK115" s="85" t="s">
        <v>333</v>
      </c>
      <c r="AN115" s="85" t="s">
        <v>327</v>
      </c>
      <c r="AO115" s="85" t="s">
        <v>328</v>
      </c>
      <c r="AP115" s="85" t="s">
        <v>329</v>
      </c>
      <c r="AQ115" s="85" t="s">
        <v>330</v>
      </c>
      <c r="AR115" s="85" t="s">
        <v>331</v>
      </c>
      <c r="AS115" s="85" t="s">
        <v>333</v>
      </c>
      <c r="AV115" s="85" t="s">
        <v>327</v>
      </c>
      <c r="AW115" s="85" t="s">
        <v>328</v>
      </c>
      <c r="AX115" s="85" t="s">
        <v>329</v>
      </c>
      <c r="AY115" s="85" t="s">
        <v>330</v>
      </c>
      <c r="AZ115" s="85" t="s">
        <v>331</v>
      </c>
      <c r="BA115" s="85" t="s">
        <v>333</v>
      </c>
    </row>
    <row r="116" spans="4:53">
      <c r="D116" s="85" t="s">
        <v>427</v>
      </c>
      <c r="E116" s="85" t="s">
        <v>406</v>
      </c>
      <c r="F116" s="85" t="s">
        <v>408</v>
      </c>
      <c r="G116" s="85" t="s">
        <v>403</v>
      </c>
      <c r="H116" s="85" t="s">
        <v>407</v>
      </c>
      <c r="I116" s="85" t="s">
        <v>409</v>
      </c>
      <c r="J116" s="85" t="s">
        <v>404</v>
      </c>
      <c r="O116" s="85" t="s">
        <v>427</v>
      </c>
      <c r="P116" s="85" t="s">
        <v>406</v>
      </c>
      <c r="Q116" s="85" t="s">
        <v>408</v>
      </c>
      <c r="R116" s="85" t="s">
        <v>403</v>
      </c>
      <c r="S116" s="85" t="s">
        <v>407</v>
      </c>
      <c r="T116" s="85" t="s">
        <v>409</v>
      </c>
      <c r="U116" s="85" t="s">
        <v>404</v>
      </c>
      <c r="W116" s="85" t="s">
        <v>427</v>
      </c>
      <c r="X116" s="85" t="s">
        <v>406</v>
      </c>
      <c r="Y116" s="85" t="s">
        <v>408</v>
      </c>
      <c r="Z116" s="85" t="s">
        <v>403</v>
      </c>
      <c r="AA116" s="85" t="s">
        <v>407</v>
      </c>
      <c r="AB116" s="85" t="s">
        <v>409</v>
      </c>
      <c r="AC116" s="85" t="s">
        <v>404</v>
      </c>
      <c r="AE116" s="85" t="s">
        <v>427</v>
      </c>
      <c r="AF116" s="85" t="s">
        <v>406</v>
      </c>
      <c r="AG116" s="85" t="s">
        <v>408</v>
      </c>
      <c r="AH116" s="85" t="s">
        <v>403</v>
      </c>
      <c r="AI116" s="85" t="s">
        <v>407</v>
      </c>
      <c r="AJ116" s="85" t="s">
        <v>409</v>
      </c>
      <c r="AK116" s="85" t="s">
        <v>404</v>
      </c>
      <c r="AM116" s="85" t="s">
        <v>427</v>
      </c>
      <c r="AN116" s="85" t="s">
        <v>406</v>
      </c>
      <c r="AO116" s="85" t="s">
        <v>408</v>
      </c>
      <c r="AP116" s="85" t="s">
        <v>403</v>
      </c>
      <c r="AQ116" s="85" t="s">
        <v>407</v>
      </c>
      <c r="AR116" s="85" t="s">
        <v>409</v>
      </c>
      <c r="AS116" s="85" t="s">
        <v>404</v>
      </c>
      <c r="AU116" s="85" t="s">
        <v>427</v>
      </c>
      <c r="AV116" s="85" t="s">
        <v>406</v>
      </c>
      <c r="AW116" s="85" t="s">
        <v>408</v>
      </c>
      <c r="AX116" s="85" t="s">
        <v>403</v>
      </c>
      <c r="AY116" s="85" t="s">
        <v>407</v>
      </c>
      <c r="AZ116" s="85" t="s">
        <v>409</v>
      </c>
      <c r="BA116" s="85" t="s">
        <v>404</v>
      </c>
    </row>
    <row r="117" spans="4:53">
      <c r="D117" s="283">
        <v>43629</v>
      </c>
      <c r="E117" s="85">
        <v>124.66500000000001</v>
      </c>
      <c r="F117" s="85">
        <v>125.36</v>
      </c>
      <c r="G117" s="85">
        <v>125.01300000000001</v>
      </c>
      <c r="H117" s="85">
        <v>1.27</v>
      </c>
      <c r="I117" s="85">
        <v>1.2090000000000001</v>
      </c>
      <c r="J117" s="85">
        <v>1.24</v>
      </c>
      <c r="O117" s="283">
        <v>43412</v>
      </c>
      <c r="P117" s="85">
        <v>118.012</v>
      </c>
      <c r="Q117" s="85">
        <v>118.8</v>
      </c>
      <c r="R117" s="85">
        <v>118.40600000000001</v>
      </c>
      <c r="S117" s="85">
        <v>1.9569999999999999</v>
      </c>
      <c r="T117" s="85">
        <v>1.8860000000000001</v>
      </c>
      <c r="U117" s="85">
        <v>1.921</v>
      </c>
      <c r="W117" s="283">
        <v>43433</v>
      </c>
      <c r="X117" s="85">
        <v>117.431</v>
      </c>
      <c r="Y117" s="85">
        <v>118.194</v>
      </c>
      <c r="Z117" s="85">
        <v>117.813</v>
      </c>
      <c r="AA117" s="85">
        <v>2.0019999999999998</v>
      </c>
      <c r="AB117" s="85">
        <v>1.9330000000000001</v>
      </c>
      <c r="AC117" s="85">
        <v>1.968</v>
      </c>
      <c r="AE117" s="283">
        <v>43620</v>
      </c>
      <c r="AF117" s="85">
        <v>123.063</v>
      </c>
      <c r="AG117" s="85">
        <v>123.77500000000001</v>
      </c>
      <c r="AH117" s="85">
        <v>123.419</v>
      </c>
      <c r="AI117" s="85">
        <v>1.4179999999999999</v>
      </c>
      <c r="AJ117" s="85">
        <v>1.355</v>
      </c>
      <c r="AK117" s="85">
        <v>1.3860000000000001</v>
      </c>
      <c r="AM117" s="283">
        <v>43626</v>
      </c>
      <c r="AN117" s="85">
        <v>123.613</v>
      </c>
      <c r="AO117" s="85">
        <v>124.363</v>
      </c>
      <c r="AP117" s="85">
        <v>123.988</v>
      </c>
      <c r="AQ117" s="85">
        <v>1.3660000000000001</v>
      </c>
      <c r="AR117" s="85">
        <v>1.3</v>
      </c>
      <c r="AS117" s="85">
        <v>1.333</v>
      </c>
      <c r="AU117" s="283">
        <v>43629</v>
      </c>
      <c r="AV117" s="85">
        <v>124.66500000000001</v>
      </c>
      <c r="AW117" s="85">
        <v>125.36</v>
      </c>
      <c r="AX117" s="85">
        <v>125.01300000000001</v>
      </c>
      <c r="AY117" s="85">
        <v>1.27</v>
      </c>
      <c r="AZ117" s="85">
        <v>1.2090000000000001</v>
      </c>
      <c r="BA117" s="85">
        <v>1.24</v>
      </c>
    </row>
    <row r="118" spans="4:53">
      <c r="D118" s="283">
        <v>43628</v>
      </c>
      <c r="E118" s="85">
        <v>123.994</v>
      </c>
      <c r="F118" s="85">
        <v>124.744</v>
      </c>
      <c r="G118" s="85">
        <v>124.369</v>
      </c>
      <c r="H118" s="85">
        <v>1.331</v>
      </c>
      <c r="I118" s="85">
        <v>1.2650000000000001</v>
      </c>
      <c r="J118" s="85">
        <v>1.298</v>
      </c>
      <c r="O118" s="283">
        <v>43411</v>
      </c>
      <c r="P118" s="85">
        <v>118.137</v>
      </c>
      <c r="Q118" s="85">
        <v>118.962</v>
      </c>
      <c r="R118" s="85">
        <v>118.55</v>
      </c>
      <c r="S118" s="85">
        <v>1.9470000000000001</v>
      </c>
      <c r="T118" s="85">
        <v>1.873</v>
      </c>
      <c r="U118" s="85">
        <v>1.9100000000000001</v>
      </c>
      <c r="W118" s="283">
        <v>43432</v>
      </c>
      <c r="X118" s="85">
        <v>117.419</v>
      </c>
      <c r="Y118" s="85">
        <v>118.181</v>
      </c>
      <c r="Z118" s="85">
        <v>117.8</v>
      </c>
      <c r="AA118" s="85">
        <v>2.004</v>
      </c>
      <c r="AB118" s="85">
        <v>1.9350000000000001</v>
      </c>
      <c r="AC118" s="85">
        <v>1.97</v>
      </c>
      <c r="AE118" s="283">
        <v>43619</v>
      </c>
      <c r="AF118" s="85">
        <v>123.063</v>
      </c>
      <c r="AG118" s="85">
        <v>123.77500000000001</v>
      </c>
      <c r="AH118" s="85">
        <v>123.419</v>
      </c>
      <c r="AI118" s="85">
        <v>1.419</v>
      </c>
      <c r="AJ118" s="85">
        <v>1.355</v>
      </c>
      <c r="AK118" s="85">
        <v>1.387</v>
      </c>
      <c r="AM118" s="283">
        <v>43623</v>
      </c>
      <c r="AN118" s="85">
        <v>123.587</v>
      </c>
      <c r="AO118" s="85">
        <v>124.337</v>
      </c>
      <c r="AP118" s="85">
        <v>123.962</v>
      </c>
      <c r="AQ118" s="85">
        <v>1.369</v>
      </c>
      <c r="AR118" s="85">
        <v>1.302</v>
      </c>
      <c r="AS118" s="85">
        <v>1.3360000000000001</v>
      </c>
      <c r="AU118" s="283">
        <v>43628</v>
      </c>
      <c r="AV118" s="85">
        <v>123.994</v>
      </c>
      <c r="AW118" s="85">
        <v>124.744</v>
      </c>
      <c r="AX118" s="85">
        <v>124.369</v>
      </c>
      <c r="AY118" s="85">
        <v>1.331</v>
      </c>
      <c r="AZ118" s="85">
        <v>1.2650000000000001</v>
      </c>
      <c r="BA118" s="85">
        <v>1.298</v>
      </c>
    </row>
    <row r="119" spans="4:53">
      <c r="D119" s="283">
        <v>43627</v>
      </c>
      <c r="E119" s="85">
        <v>123.863</v>
      </c>
      <c r="F119" s="85">
        <v>124.613</v>
      </c>
      <c r="G119" s="85">
        <v>124.238</v>
      </c>
      <c r="H119" s="85">
        <v>1.343</v>
      </c>
      <c r="I119" s="85">
        <v>1.2770000000000001</v>
      </c>
      <c r="J119" s="85">
        <v>1.31</v>
      </c>
      <c r="O119" s="283">
        <v>43410</v>
      </c>
      <c r="P119" s="85">
        <v>118.137</v>
      </c>
      <c r="Q119" s="85">
        <v>118.96299999999999</v>
      </c>
      <c r="R119" s="85">
        <v>118.55</v>
      </c>
      <c r="S119" s="85">
        <v>1.9470000000000001</v>
      </c>
      <c r="T119" s="85">
        <v>1.873</v>
      </c>
      <c r="U119" s="85">
        <v>1.9100000000000001</v>
      </c>
      <c r="W119" s="283">
        <v>43431</v>
      </c>
      <c r="X119" s="85">
        <v>117.461</v>
      </c>
      <c r="Y119" s="85">
        <v>118.099</v>
      </c>
      <c r="Z119" s="85">
        <v>117.78</v>
      </c>
      <c r="AA119" s="85">
        <v>2.0009999999999999</v>
      </c>
      <c r="AB119" s="85">
        <v>1.9430000000000001</v>
      </c>
      <c r="AC119" s="85">
        <v>1.972</v>
      </c>
      <c r="AE119" s="283">
        <v>43616</v>
      </c>
      <c r="AF119" s="85">
        <v>122.95</v>
      </c>
      <c r="AG119" s="85">
        <v>123.6</v>
      </c>
      <c r="AH119" s="85">
        <v>123.27500000000001</v>
      </c>
      <c r="AI119" s="85">
        <v>1.429</v>
      </c>
      <c r="AJ119" s="85">
        <v>1.371</v>
      </c>
      <c r="AK119" s="85">
        <v>1.4</v>
      </c>
      <c r="AM119" s="283">
        <v>43622</v>
      </c>
      <c r="AN119" s="85">
        <v>123.313</v>
      </c>
      <c r="AO119" s="85">
        <v>124.02500000000001</v>
      </c>
      <c r="AP119" s="85">
        <v>123.669</v>
      </c>
      <c r="AQ119" s="85">
        <v>1.3940000000000001</v>
      </c>
      <c r="AR119" s="85">
        <v>1.331</v>
      </c>
      <c r="AS119" s="85">
        <v>1.3620000000000001</v>
      </c>
      <c r="AU119" s="283">
        <v>43627</v>
      </c>
      <c r="AV119" s="85">
        <v>123.863</v>
      </c>
      <c r="AW119" s="85">
        <v>124.613</v>
      </c>
      <c r="AX119" s="85">
        <v>124.238</v>
      </c>
      <c r="AY119" s="85">
        <v>1.343</v>
      </c>
      <c r="AZ119" s="85">
        <v>1.2770000000000001</v>
      </c>
      <c r="BA119" s="85">
        <v>1.31</v>
      </c>
    </row>
    <row r="120" spans="4:53">
      <c r="D120" s="85" t="s">
        <v>252</v>
      </c>
      <c r="O120" s="85" t="s">
        <v>252</v>
      </c>
      <c r="W120" s="85" t="s">
        <v>252</v>
      </c>
      <c r="AE120" s="85" t="s">
        <v>252</v>
      </c>
      <c r="AM120" s="85" t="s">
        <v>252</v>
      </c>
      <c r="AU120" s="85" t="s">
        <v>252</v>
      </c>
    </row>
    <row r="121" spans="4:53">
      <c r="D121" s="85" t="s">
        <v>484</v>
      </c>
      <c r="O121" s="85" t="s">
        <v>484</v>
      </c>
      <c r="W121" s="85" t="s">
        <v>484</v>
      </c>
      <c r="AE121" s="85" t="s">
        <v>484</v>
      </c>
      <c r="AM121" s="85" t="s">
        <v>484</v>
      </c>
      <c r="AU121" s="85" t="s">
        <v>484</v>
      </c>
    </row>
    <row r="122" spans="4:53">
      <c r="E122" s="85" t="s">
        <v>327</v>
      </c>
      <c r="F122" s="85" t="s">
        <v>328</v>
      </c>
      <c r="G122" s="85" t="s">
        <v>329</v>
      </c>
      <c r="H122" s="85" t="s">
        <v>330</v>
      </c>
      <c r="I122" s="85" t="s">
        <v>331</v>
      </c>
      <c r="J122" s="85" t="s">
        <v>333</v>
      </c>
      <c r="P122" s="85" t="s">
        <v>327</v>
      </c>
      <c r="Q122" s="85" t="s">
        <v>328</v>
      </c>
      <c r="R122" s="85" t="s">
        <v>329</v>
      </c>
      <c r="S122" s="85" t="s">
        <v>330</v>
      </c>
      <c r="T122" s="85" t="s">
        <v>331</v>
      </c>
      <c r="U122" s="85" t="s">
        <v>333</v>
      </c>
      <c r="X122" s="85" t="s">
        <v>327</v>
      </c>
      <c r="Y122" s="85" t="s">
        <v>328</v>
      </c>
      <c r="Z122" s="85" t="s">
        <v>329</v>
      </c>
      <c r="AA122" s="85" t="s">
        <v>330</v>
      </c>
      <c r="AB122" s="85" t="s">
        <v>331</v>
      </c>
      <c r="AC122" s="85" t="s">
        <v>333</v>
      </c>
      <c r="AF122" s="85" t="s">
        <v>327</v>
      </c>
      <c r="AG122" s="85" t="s">
        <v>328</v>
      </c>
      <c r="AH122" s="85" t="s">
        <v>329</v>
      </c>
      <c r="AI122" s="85" t="s">
        <v>330</v>
      </c>
      <c r="AJ122" s="85" t="s">
        <v>331</v>
      </c>
      <c r="AK122" s="85" t="s">
        <v>333</v>
      </c>
      <c r="AN122" s="85" t="s">
        <v>327</v>
      </c>
      <c r="AO122" s="85" t="s">
        <v>328</v>
      </c>
      <c r="AP122" s="85" t="s">
        <v>329</v>
      </c>
      <c r="AQ122" s="85" t="s">
        <v>330</v>
      </c>
      <c r="AR122" s="85" t="s">
        <v>331</v>
      </c>
      <c r="AS122" s="85" t="s">
        <v>333</v>
      </c>
      <c r="AV122" s="85" t="s">
        <v>327</v>
      </c>
      <c r="AW122" s="85" t="s">
        <v>328</v>
      </c>
      <c r="AX122" s="85" t="s">
        <v>329</v>
      </c>
      <c r="AY122" s="85" t="s">
        <v>330</v>
      </c>
      <c r="AZ122" s="85" t="s">
        <v>331</v>
      </c>
      <c r="BA122" s="85" t="s">
        <v>333</v>
      </c>
    </row>
    <row r="123" spans="4:53">
      <c r="D123" s="85" t="s">
        <v>427</v>
      </c>
      <c r="E123" s="85" t="s">
        <v>406</v>
      </c>
      <c r="F123" s="85" t="s">
        <v>408</v>
      </c>
      <c r="G123" s="85" t="s">
        <v>403</v>
      </c>
      <c r="H123" s="85" t="s">
        <v>407</v>
      </c>
      <c r="I123" s="85" t="s">
        <v>409</v>
      </c>
      <c r="J123" s="85" t="s">
        <v>404</v>
      </c>
      <c r="O123" s="85" t="s">
        <v>427</v>
      </c>
      <c r="P123" s="85" t="s">
        <v>406</v>
      </c>
      <c r="Q123" s="85" t="s">
        <v>408</v>
      </c>
      <c r="R123" s="85" t="s">
        <v>403</v>
      </c>
      <c r="S123" s="85" t="s">
        <v>407</v>
      </c>
      <c r="T123" s="85" t="s">
        <v>409</v>
      </c>
      <c r="U123" s="85" t="s">
        <v>404</v>
      </c>
      <c r="W123" s="85" t="s">
        <v>427</v>
      </c>
      <c r="X123" s="85" t="s">
        <v>406</v>
      </c>
      <c r="Y123" s="85" t="s">
        <v>408</v>
      </c>
      <c r="Z123" s="85" t="s">
        <v>403</v>
      </c>
      <c r="AA123" s="85" t="s">
        <v>407</v>
      </c>
      <c r="AB123" s="85" t="s">
        <v>409</v>
      </c>
      <c r="AC123" s="85" t="s">
        <v>404</v>
      </c>
      <c r="AE123" s="85" t="s">
        <v>427</v>
      </c>
      <c r="AF123" s="85" t="s">
        <v>406</v>
      </c>
      <c r="AG123" s="85" t="s">
        <v>408</v>
      </c>
      <c r="AH123" s="85" t="s">
        <v>403</v>
      </c>
      <c r="AI123" s="85" t="s">
        <v>407</v>
      </c>
      <c r="AJ123" s="85" t="s">
        <v>409</v>
      </c>
      <c r="AK123" s="85" t="s">
        <v>404</v>
      </c>
      <c r="AM123" s="85" t="s">
        <v>427</v>
      </c>
      <c r="AN123" s="85" t="s">
        <v>406</v>
      </c>
      <c r="AO123" s="85" t="s">
        <v>408</v>
      </c>
      <c r="AP123" s="85" t="s">
        <v>403</v>
      </c>
      <c r="AQ123" s="85" t="s">
        <v>407</v>
      </c>
      <c r="AR123" s="85" t="s">
        <v>409</v>
      </c>
      <c r="AS123" s="85" t="s">
        <v>404</v>
      </c>
      <c r="AU123" s="85" t="s">
        <v>427</v>
      </c>
      <c r="AV123" s="85" t="s">
        <v>406</v>
      </c>
      <c r="AW123" s="85" t="s">
        <v>408</v>
      </c>
      <c r="AX123" s="85" t="s">
        <v>403</v>
      </c>
      <c r="AY123" s="85" t="s">
        <v>407</v>
      </c>
      <c r="AZ123" s="85" t="s">
        <v>409</v>
      </c>
      <c r="BA123" s="85" t="s">
        <v>404</v>
      </c>
    </row>
    <row r="124" spans="4:53">
      <c r="D124" s="283">
        <v>43629</v>
      </c>
      <c r="E124" s="85">
        <v>159.63300000000001</v>
      </c>
      <c r="F124" s="85">
        <v>160.15700000000001</v>
      </c>
      <c r="G124" s="85">
        <v>159.89500000000001</v>
      </c>
      <c r="H124" s="85">
        <v>3.4630000000000001</v>
      </c>
      <c r="I124" s="85">
        <v>3.4289999999999998</v>
      </c>
      <c r="J124" s="85">
        <v>3.4460000000000002</v>
      </c>
      <c r="O124" s="283">
        <v>43412</v>
      </c>
      <c r="P124" s="85">
        <v>143.10599999999999</v>
      </c>
      <c r="Q124" s="85">
        <v>143.74</v>
      </c>
      <c r="R124" s="85">
        <v>143.423</v>
      </c>
      <c r="S124" s="85">
        <v>4.7130000000000001</v>
      </c>
      <c r="T124" s="85">
        <v>4.6669999999999998</v>
      </c>
      <c r="U124" s="85">
        <v>4.6899999999999995</v>
      </c>
      <c r="W124" s="283">
        <v>43433</v>
      </c>
      <c r="X124" s="85">
        <v>143.87799999999999</v>
      </c>
      <c r="Y124" s="85">
        <v>144.14500000000001</v>
      </c>
      <c r="Z124" s="85">
        <v>144.011</v>
      </c>
      <c r="AA124" s="85">
        <v>4.6479999999999997</v>
      </c>
      <c r="AB124" s="85">
        <v>4.6289999999999996</v>
      </c>
      <c r="AC124" s="85">
        <v>4.6390000000000002</v>
      </c>
      <c r="AE124" s="283">
        <v>43620</v>
      </c>
      <c r="AF124" s="85">
        <v>158.47800000000001</v>
      </c>
      <c r="AG124" s="85">
        <v>158.89500000000001</v>
      </c>
      <c r="AH124" s="85">
        <v>158.68700000000001</v>
      </c>
      <c r="AI124" s="85">
        <v>3.5449999999999999</v>
      </c>
      <c r="AJ124" s="85">
        <v>3.5179999999999998</v>
      </c>
      <c r="AK124" s="85">
        <v>3.532</v>
      </c>
      <c r="AM124" s="283">
        <v>43626</v>
      </c>
      <c r="AN124" s="85">
        <v>159.27600000000001</v>
      </c>
      <c r="AO124" s="85">
        <v>159.755</v>
      </c>
      <c r="AP124" s="85">
        <v>159.51599999999999</v>
      </c>
      <c r="AQ124" s="85">
        <v>3.4889999999999999</v>
      </c>
      <c r="AR124" s="85">
        <v>3.4580000000000002</v>
      </c>
      <c r="AS124" s="85">
        <v>3.4740000000000002</v>
      </c>
      <c r="AU124" s="283">
        <v>43629</v>
      </c>
      <c r="AV124" s="85">
        <v>159.63300000000001</v>
      </c>
      <c r="AW124" s="85">
        <v>160.15700000000001</v>
      </c>
      <c r="AX124" s="85">
        <v>159.89500000000001</v>
      </c>
      <c r="AY124" s="85">
        <v>3.4630000000000001</v>
      </c>
      <c r="AZ124" s="85">
        <v>3.4289999999999998</v>
      </c>
      <c r="BA124" s="85">
        <v>3.4460000000000002</v>
      </c>
    </row>
    <row r="125" spans="4:53">
      <c r="D125" s="283">
        <v>43628</v>
      </c>
      <c r="E125" s="85">
        <v>159.84700000000001</v>
      </c>
      <c r="F125" s="85">
        <v>160.054</v>
      </c>
      <c r="G125" s="85">
        <v>159.95099999999999</v>
      </c>
      <c r="H125" s="85">
        <v>3.4510000000000001</v>
      </c>
      <c r="I125" s="85">
        <v>3.4380000000000002</v>
      </c>
      <c r="J125" s="85">
        <v>3.444</v>
      </c>
      <c r="O125" s="283">
        <v>43411</v>
      </c>
      <c r="P125" s="85">
        <v>143.232</v>
      </c>
      <c r="Q125" s="85">
        <v>143.81899999999999</v>
      </c>
      <c r="R125" s="85">
        <v>143.52500000000001</v>
      </c>
      <c r="S125" s="85">
        <v>4.7059999999999995</v>
      </c>
      <c r="T125" s="85">
        <v>4.6630000000000003</v>
      </c>
      <c r="U125" s="85">
        <v>4.6840000000000002</v>
      </c>
      <c r="W125" s="283">
        <v>43432</v>
      </c>
      <c r="X125" s="85">
        <v>143.767</v>
      </c>
      <c r="Y125" s="85">
        <v>143.88200000000001</v>
      </c>
      <c r="Z125" s="85">
        <v>143.82499999999999</v>
      </c>
      <c r="AA125" s="85">
        <v>4.6580000000000004</v>
      </c>
      <c r="AB125" s="85">
        <v>4.649</v>
      </c>
      <c r="AC125" s="85">
        <v>4.6530000000000005</v>
      </c>
      <c r="AE125" s="283">
        <v>43619</v>
      </c>
      <c r="AF125" s="85">
        <v>157.66900000000001</v>
      </c>
      <c r="AG125" s="85">
        <v>158.00200000000001</v>
      </c>
      <c r="AH125" s="85">
        <v>157.83600000000001</v>
      </c>
      <c r="AI125" s="85">
        <v>3.5990000000000002</v>
      </c>
      <c r="AJ125" s="85">
        <v>3.577</v>
      </c>
      <c r="AK125" s="85">
        <v>3.5880000000000001</v>
      </c>
      <c r="AM125" s="283">
        <v>43623</v>
      </c>
      <c r="AN125" s="85">
        <v>159.53700000000001</v>
      </c>
      <c r="AO125" s="85">
        <v>159.86799999999999</v>
      </c>
      <c r="AP125" s="85">
        <v>159.703</v>
      </c>
      <c r="AQ125" s="85">
        <v>3.4729999999999999</v>
      </c>
      <c r="AR125" s="85">
        <v>3.4510000000000001</v>
      </c>
      <c r="AS125" s="85">
        <v>3.4620000000000002</v>
      </c>
      <c r="AU125" s="283">
        <v>43628</v>
      </c>
      <c r="AV125" s="85">
        <v>159.84700000000001</v>
      </c>
      <c r="AW125" s="85">
        <v>160.054</v>
      </c>
      <c r="AX125" s="85">
        <v>159.95099999999999</v>
      </c>
      <c r="AY125" s="85">
        <v>3.4510000000000001</v>
      </c>
      <c r="AZ125" s="85">
        <v>3.4380000000000002</v>
      </c>
      <c r="BA125" s="85">
        <v>3.444</v>
      </c>
    </row>
    <row r="126" spans="4:53">
      <c r="D126" s="283">
        <v>43627</v>
      </c>
      <c r="E126" s="85">
        <v>159.56100000000001</v>
      </c>
      <c r="F126" s="85">
        <v>160.08500000000001</v>
      </c>
      <c r="G126" s="85">
        <v>159.82300000000001</v>
      </c>
      <c r="H126" s="85">
        <v>3.4699999999999998</v>
      </c>
      <c r="I126" s="85">
        <v>3.4359999999999999</v>
      </c>
      <c r="J126" s="85">
        <v>3.4529999999999998</v>
      </c>
      <c r="O126" s="283">
        <v>43410</v>
      </c>
      <c r="P126" s="85">
        <v>143.21299999999999</v>
      </c>
      <c r="Q126" s="85">
        <v>143.88399999999999</v>
      </c>
      <c r="R126" s="85">
        <v>143.548</v>
      </c>
      <c r="S126" s="85">
        <v>4.7069999999999999</v>
      </c>
      <c r="T126" s="85">
        <v>4.6580000000000004</v>
      </c>
      <c r="U126" s="85">
        <v>4.6829999999999998</v>
      </c>
      <c r="W126" s="283">
        <v>43431</v>
      </c>
      <c r="X126" s="85">
        <v>142.94399999999999</v>
      </c>
      <c r="Y126" s="85">
        <v>143.352</v>
      </c>
      <c r="Z126" s="85">
        <v>143.148</v>
      </c>
      <c r="AA126" s="85">
        <v>4.7190000000000003</v>
      </c>
      <c r="AB126" s="85">
        <v>4.6890000000000001</v>
      </c>
      <c r="AC126" s="85">
        <v>4.7039999999999997</v>
      </c>
      <c r="AE126" s="283">
        <v>43616</v>
      </c>
      <c r="AF126" s="85">
        <v>157.19800000000001</v>
      </c>
      <c r="AG126" s="85">
        <v>157.583</v>
      </c>
      <c r="AH126" s="85">
        <v>157.39099999999999</v>
      </c>
      <c r="AI126" s="85">
        <v>3.6310000000000002</v>
      </c>
      <c r="AJ126" s="85">
        <v>3.6059999999999999</v>
      </c>
      <c r="AK126" s="85">
        <v>3.6179999999999999</v>
      </c>
      <c r="AM126" s="283">
        <v>43622</v>
      </c>
      <c r="AN126" s="85">
        <v>159.05799999999999</v>
      </c>
      <c r="AO126" s="85">
        <v>159.52199999999999</v>
      </c>
      <c r="AP126" s="85">
        <v>159.29</v>
      </c>
      <c r="AQ126" s="85">
        <v>3.5049999999999999</v>
      </c>
      <c r="AR126" s="85">
        <v>3.4750000000000001</v>
      </c>
      <c r="AS126" s="85">
        <v>3.49</v>
      </c>
      <c r="AU126" s="283">
        <v>43627</v>
      </c>
      <c r="AV126" s="85">
        <v>159.56100000000001</v>
      </c>
      <c r="AW126" s="85">
        <v>160.08500000000001</v>
      </c>
      <c r="AX126" s="85">
        <v>159.82300000000001</v>
      </c>
      <c r="AY126" s="85">
        <v>3.4699999999999998</v>
      </c>
      <c r="AZ126" s="85">
        <v>3.4359999999999999</v>
      </c>
      <c r="BA126" s="85">
        <v>3.4529999999999998</v>
      </c>
    </row>
    <row r="127" spans="4:53">
      <c r="D127" s="85" t="s">
        <v>258</v>
      </c>
      <c r="O127" s="85" t="s">
        <v>258</v>
      </c>
      <c r="W127" s="85" t="s">
        <v>258</v>
      </c>
      <c r="AE127" s="85" t="s">
        <v>258</v>
      </c>
      <c r="AM127" s="85" t="s">
        <v>258</v>
      </c>
      <c r="AU127" s="85" t="s">
        <v>258</v>
      </c>
    </row>
    <row r="128" spans="4:53">
      <c r="D128" s="85" t="s">
        <v>485</v>
      </c>
      <c r="O128" s="85" t="s">
        <v>485</v>
      </c>
      <c r="W128" s="85" t="s">
        <v>485</v>
      </c>
      <c r="AE128" s="85" t="s">
        <v>485</v>
      </c>
      <c r="AM128" s="85" t="s">
        <v>485</v>
      </c>
      <c r="AU128" s="85" t="s">
        <v>485</v>
      </c>
    </row>
    <row r="129" spans="4:53">
      <c r="E129" s="85" t="s">
        <v>327</v>
      </c>
      <c r="F129" s="85" t="s">
        <v>328</v>
      </c>
      <c r="G129" s="85" t="s">
        <v>329</v>
      </c>
      <c r="H129" s="85" t="s">
        <v>330</v>
      </c>
      <c r="I129" s="85" t="s">
        <v>331</v>
      </c>
      <c r="J129" s="85" t="s">
        <v>333</v>
      </c>
      <c r="P129" s="85" t="s">
        <v>327</v>
      </c>
      <c r="Q129" s="85" t="s">
        <v>328</v>
      </c>
      <c r="R129" s="85" t="s">
        <v>329</v>
      </c>
      <c r="S129" s="85" t="s">
        <v>330</v>
      </c>
      <c r="T129" s="85" t="s">
        <v>331</v>
      </c>
      <c r="U129" s="85" t="s">
        <v>333</v>
      </c>
      <c r="X129" s="85" t="s">
        <v>327</v>
      </c>
      <c r="Y129" s="85" t="s">
        <v>328</v>
      </c>
      <c r="Z129" s="85" t="s">
        <v>329</v>
      </c>
      <c r="AA129" s="85" t="s">
        <v>330</v>
      </c>
      <c r="AB129" s="85" t="s">
        <v>331</v>
      </c>
      <c r="AC129" s="85" t="s">
        <v>333</v>
      </c>
      <c r="AF129" s="85" t="s">
        <v>327</v>
      </c>
      <c r="AG129" s="85" t="s">
        <v>328</v>
      </c>
      <c r="AH129" s="85" t="s">
        <v>329</v>
      </c>
      <c r="AI129" s="85" t="s">
        <v>330</v>
      </c>
      <c r="AJ129" s="85" t="s">
        <v>331</v>
      </c>
      <c r="AK129" s="85" t="s">
        <v>333</v>
      </c>
      <c r="AN129" s="85" t="s">
        <v>327</v>
      </c>
      <c r="AO129" s="85" t="s">
        <v>328</v>
      </c>
      <c r="AP129" s="85" t="s">
        <v>329</v>
      </c>
      <c r="AQ129" s="85" t="s">
        <v>330</v>
      </c>
      <c r="AR129" s="85" t="s">
        <v>331</v>
      </c>
      <c r="AS129" s="85" t="s">
        <v>333</v>
      </c>
      <c r="AV129" s="85" t="s">
        <v>327</v>
      </c>
      <c r="AW129" s="85" t="s">
        <v>328</v>
      </c>
      <c r="AX129" s="85" t="s">
        <v>329</v>
      </c>
      <c r="AY129" s="85" t="s">
        <v>330</v>
      </c>
      <c r="AZ129" s="85" t="s">
        <v>331</v>
      </c>
      <c r="BA129" s="85" t="s">
        <v>333</v>
      </c>
    </row>
    <row r="130" spans="4:53">
      <c r="D130" s="85" t="s">
        <v>427</v>
      </c>
      <c r="E130" s="85" t="s">
        <v>406</v>
      </c>
      <c r="F130" s="85" t="s">
        <v>408</v>
      </c>
      <c r="G130" s="85" t="s">
        <v>403</v>
      </c>
      <c r="H130" s="85" t="s">
        <v>407</v>
      </c>
      <c r="I130" s="85" t="s">
        <v>409</v>
      </c>
      <c r="J130" s="85" t="s">
        <v>404</v>
      </c>
      <c r="O130" s="85" t="s">
        <v>427</v>
      </c>
      <c r="P130" s="85" t="s">
        <v>406</v>
      </c>
      <c r="Q130" s="85" t="s">
        <v>408</v>
      </c>
      <c r="R130" s="85" t="s">
        <v>403</v>
      </c>
      <c r="S130" s="85" t="s">
        <v>407</v>
      </c>
      <c r="T130" s="85" t="s">
        <v>409</v>
      </c>
      <c r="U130" s="85" t="s">
        <v>404</v>
      </c>
      <c r="W130" s="85" t="s">
        <v>427</v>
      </c>
      <c r="X130" s="85" t="s">
        <v>406</v>
      </c>
      <c r="Y130" s="85" t="s">
        <v>408</v>
      </c>
      <c r="Z130" s="85" t="s">
        <v>403</v>
      </c>
      <c r="AA130" s="85" t="s">
        <v>407</v>
      </c>
      <c r="AB130" s="85" t="s">
        <v>409</v>
      </c>
      <c r="AC130" s="85" t="s">
        <v>404</v>
      </c>
      <c r="AE130" s="85" t="s">
        <v>427</v>
      </c>
      <c r="AF130" s="85" t="s">
        <v>406</v>
      </c>
      <c r="AG130" s="85" t="s">
        <v>408</v>
      </c>
      <c r="AH130" s="85" t="s">
        <v>403</v>
      </c>
      <c r="AI130" s="85" t="s">
        <v>407</v>
      </c>
      <c r="AJ130" s="85" t="s">
        <v>409</v>
      </c>
      <c r="AK130" s="85" t="s">
        <v>404</v>
      </c>
      <c r="AM130" s="85" t="s">
        <v>427</v>
      </c>
      <c r="AN130" s="85" t="s">
        <v>406</v>
      </c>
      <c r="AO130" s="85" t="s">
        <v>408</v>
      </c>
      <c r="AP130" s="85" t="s">
        <v>403</v>
      </c>
      <c r="AQ130" s="85" t="s">
        <v>407</v>
      </c>
      <c r="AR130" s="85" t="s">
        <v>409</v>
      </c>
      <c r="AS130" s="85" t="s">
        <v>404</v>
      </c>
      <c r="AU130" s="85" t="s">
        <v>427</v>
      </c>
      <c r="AV130" s="85" t="s">
        <v>406</v>
      </c>
      <c r="AW130" s="85" t="s">
        <v>408</v>
      </c>
      <c r="AX130" s="85" t="s">
        <v>403</v>
      </c>
      <c r="AY130" s="85" t="s">
        <v>407</v>
      </c>
      <c r="AZ130" s="85" t="s">
        <v>409</v>
      </c>
      <c r="BA130" s="85" t="s">
        <v>404</v>
      </c>
    </row>
    <row r="131" spans="4:53">
      <c r="D131" s="283">
        <v>43629</v>
      </c>
      <c r="E131" s="85">
        <v>139.33500000000001</v>
      </c>
      <c r="F131" s="85">
        <v>139.86000000000001</v>
      </c>
      <c r="G131" s="85">
        <v>139.59800000000001</v>
      </c>
      <c r="H131" s="85">
        <v>3.544</v>
      </c>
      <c r="I131" s="85">
        <v>3.512</v>
      </c>
      <c r="J131" s="85">
        <v>3.528</v>
      </c>
      <c r="O131" s="283">
        <v>43412</v>
      </c>
      <c r="P131" s="85">
        <v>121.999</v>
      </c>
      <c r="Q131" s="85">
        <v>122.545</v>
      </c>
      <c r="R131" s="85">
        <v>122.27200000000001</v>
      </c>
      <c r="S131" s="85">
        <v>4.74</v>
      </c>
      <c r="T131" s="85">
        <v>4.7009999999999996</v>
      </c>
      <c r="U131" s="85">
        <v>4.7210000000000001</v>
      </c>
      <c r="W131" s="283">
        <v>43433</v>
      </c>
      <c r="X131" s="85">
        <v>122.77800000000001</v>
      </c>
      <c r="Y131" s="85">
        <v>123.249</v>
      </c>
      <c r="Z131" s="85">
        <v>123.01300000000001</v>
      </c>
      <c r="AA131" s="85">
        <v>4.681</v>
      </c>
      <c r="AB131" s="85">
        <v>4.6479999999999997</v>
      </c>
      <c r="AC131" s="85">
        <v>4.6639999999999997</v>
      </c>
      <c r="AE131" s="283">
        <v>43620</v>
      </c>
      <c r="AF131" s="85">
        <v>137.72</v>
      </c>
      <c r="AG131" s="85">
        <v>138.13800000000001</v>
      </c>
      <c r="AH131" s="85">
        <v>137.929</v>
      </c>
      <c r="AI131" s="85">
        <v>3.6470000000000002</v>
      </c>
      <c r="AJ131" s="85">
        <v>3.621</v>
      </c>
      <c r="AK131" s="85">
        <v>3.6339999999999999</v>
      </c>
      <c r="AM131" s="283">
        <v>43626</v>
      </c>
      <c r="AN131" s="85">
        <v>138.839</v>
      </c>
      <c r="AO131" s="85">
        <v>139.25700000000001</v>
      </c>
      <c r="AP131" s="85">
        <v>139.048</v>
      </c>
      <c r="AQ131" s="85">
        <v>3.5760000000000001</v>
      </c>
      <c r="AR131" s="85">
        <v>3.55</v>
      </c>
      <c r="AS131" s="85">
        <v>3.5629999999999997</v>
      </c>
      <c r="AU131" s="283">
        <v>43629</v>
      </c>
      <c r="AV131" s="85">
        <v>139.33500000000001</v>
      </c>
      <c r="AW131" s="85">
        <v>139.86000000000001</v>
      </c>
      <c r="AX131" s="85">
        <v>139.59800000000001</v>
      </c>
      <c r="AY131" s="85">
        <v>3.544</v>
      </c>
      <c r="AZ131" s="85">
        <v>3.512</v>
      </c>
      <c r="BA131" s="85">
        <v>3.528</v>
      </c>
    </row>
    <row r="132" spans="4:53">
      <c r="D132" s="283">
        <v>43628</v>
      </c>
      <c r="E132" s="85">
        <v>139.476</v>
      </c>
      <c r="F132" s="85">
        <v>139.89500000000001</v>
      </c>
      <c r="G132" s="85">
        <v>139.68600000000001</v>
      </c>
      <c r="H132" s="85">
        <v>3.536</v>
      </c>
      <c r="I132" s="85">
        <v>3.51</v>
      </c>
      <c r="J132" s="85">
        <v>3.5230000000000001</v>
      </c>
      <c r="O132" s="283">
        <v>43411</v>
      </c>
      <c r="P132" s="85">
        <v>122.003</v>
      </c>
      <c r="Q132" s="85">
        <v>122.51600000000001</v>
      </c>
      <c r="R132" s="85">
        <v>122.259</v>
      </c>
      <c r="S132" s="85">
        <v>4.7409999999999997</v>
      </c>
      <c r="T132" s="85">
        <v>4.7039999999999997</v>
      </c>
      <c r="U132" s="85">
        <v>4.7219999999999995</v>
      </c>
      <c r="W132" s="283">
        <v>43432</v>
      </c>
      <c r="X132" s="85">
        <v>122.28700000000001</v>
      </c>
      <c r="Y132" s="85">
        <v>122.666</v>
      </c>
      <c r="Z132" s="85">
        <v>122.476</v>
      </c>
      <c r="AA132" s="85">
        <v>4.7169999999999996</v>
      </c>
      <c r="AB132" s="85">
        <v>4.6899999999999995</v>
      </c>
      <c r="AC132" s="85">
        <v>4.7030000000000003</v>
      </c>
      <c r="AE132" s="283">
        <v>43619</v>
      </c>
      <c r="AF132" s="85">
        <v>136.98500000000001</v>
      </c>
      <c r="AG132" s="85">
        <v>137.30199999999999</v>
      </c>
      <c r="AH132" s="85">
        <v>137.14400000000001</v>
      </c>
      <c r="AI132" s="85">
        <v>3.6930000000000001</v>
      </c>
      <c r="AJ132" s="85">
        <v>3.673</v>
      </c>
      <c r="AK132" s="85">
        <v>3.6829999999999998</v>
      </c>
      <c r="AM132" s="283">
        <v>43623</v>
      </c>
      <c r="AN132" s="85">
        <v>139.14599999999999</v>
      </c>
      <c r="AO132" s="85">
        <v>139.27799999999999</v>
      </c>
      <c r="AP132" s="85">
        <v>139.21199999999999</v>
      </c>
      <c r="AQ132" s="85">
        <v>3.5569999999999999</v>
      </c>
      <c r="AR132" s="85">
        <v>3.5489999999999999</v>
      </c>
      <c r="AS132" s="85">
        <v>3.5529999999999999</v>
      </c>
      <c r="AU132" s="283">
        <v>43628</v>
      </c>
      <c r="AV132" s="85">
        <v>139.476</v>
      </c>
      <c r="AW132" s="85">
        <v>139.89500000000001</v>
      </c>
      <c r="AX132" s="85">
        <v>139.68600000000001</v>
      </c>
      <c r="AY132" s="85">
        <v>3.536</v>
      </c>
      <c r="AZ132" s="85">
        <v>3.51</v>
      </c>
      <c r="BA132" s="85">
        <v>3.5230000000000001</v>
      </c>
    </row>
    <row r="133" spans="4:53">
      <c r="D133" s="283">
        <v>43627</v>
      </c>
      <c r="E133" s="85">
        <v>139.18899999999999</v>
      </c>
      <c r="F133" s="85">
        <v>139.55000000000001</v>
      </c>
      <c r="G133" s="85">
        <v>139.37</v>
      </c>
      <c r="H133" s="85">
        <v>3.5540000000000003</v>
      </c>
      <c r="I133" s="85">
        <v>3.532</v>
      </c>
      <c r="J133" s="85">
        <v>3.5430000000000001</v>
      </c>
      <c r="O133" s="283">
        <v>43410</v>
      </c>
      <c r="P133" s="85">
        <v>121.995</v>
      </c>
      <c r="Q133" s="85">
        <v>122.554</v>
      </c>
      <c r="R133" s="85">
        <v>122.27500000000001</v>
      </c>
      <c r="S133" s="85">
        <v>4.7409999999999997</v>
      </c>
      <c r="T133" s="85">
        <v>4.7009999999999996</v>
      </c>
      <c r="U133" s="85">
        <v>4.7210000000000001</v>
      </c>
      <c r="W133" s="283">
        <v>43431</v>
      </c>
      <c r="X133" s="85">
        <v>121.60899999999999</v>
      </c>
      <c r="Y133" s="85">
        <v>122.31100000000001</v>
      </c>
      <c r="Z133" s="85">
        <v>121.96</v>
      </c>
      <c r="AA133" s="85">
        <v>4.766</v>
      </c>
      <c r="AB133" s="85">
        <v>4.7149999999999999</v>
      </c>
      <c r="AC133" s="85">
        <v>4.7409999999999997</v>
      </c>
      <c r="AE133" s="283">
        <v>43616</v>
      </c>
      <c r="AF133" s="85">
        <v>136.22200000000001</v>
      </c>
      <c r="AG133" s="85">
        <v>136.69900000000001</v>
      </c>
      <c r="AH133" s="85">
        <v>136.46100000000001</v>
      </c>
      <c r="AI133" s="85">
        <v>3.7410000000000001</v>
      </c>
      <c r="AJ133" s="85">
        <v>3.7109999999999999</v>
      </c>
      <c r="AK133" s="85">
        <v>3.726</v>
      </c>
      <c r="AM133" s="283">
        <v>43622</v>
      </c>
      <c r="AN133" s="85">
        <v>138.529</v>
      </c>
      <c r="AO133" s="85">
        <v>138.886</v>
      </c>
      <c r="AP133" s="85">
        <v>138.70699999999999</v>
      </c>
      <c r="AQ133" s="85">
        <v>3.5949999999999998</v>
      </c>
      <c r="AR133" s="85">
        <v>3.573</v>
      </c>
      <c r="AS133" s="85">
        <v>3.5840000000000001</v>
      </c>
      <c r="AU133" s="283">
        <v>43627</v>
      </c>
      <c r="AV133" s="85">
        <v>139.18899999999999</v>
      </c>
      <c r="AW133" s="85">
        <v>139.55000000000001</v>
      </c>
      <c r="AX133" s="85">
        <v>139.37</v>
      </c>
      <c r="AY133" s="85">
        <v>3.5540000000000003</v>
      </c>
      <c r="AZ133" s="85">
        <v>3.532</v>
      </c>
      <c r="BA133" s="85">
        <v>3.5430000000000001</v>
      </c>
    </row>
    <row r="134" spans="4:53">
      <c r="D134" s="85" t="s">
        <v>263</v>
      </c>
      <c r="O134" s="85" t="s">
        <v>263</v>
      </c>
      <c r="W134" s="85" t="s">
        <v>263</v>
      </c>
      <c r="AE134" s="85" t="s">
        <v>263</v>
      </c>
      <c r="AM134" s="85" t="s">
        <v>263</v>
      </c>
      <c r="AU134" s="85" t="s">
        <v>263</v>
      </c>
    </row>
    <row r="135" spans="4:53">
      <c r="D135" s="85" t="s">
        <v>486</v>
      </c>
      <c r="O135" s="85" t="s">
        <v>486</v>
      </c>
      <c r="W135" s="85" t="s">
        <v>486</v>
      </c>
      <c r="AE135" s="85" t="s">
        <v>486</v>
      </c>
      <c r="AM135" s="85" t="s">
        <v>486</v>
      </c>
      <c r="AU135" s="85" t="s">
        <v>486</v>
      </c>
    </row>
    <row r="136" spans="4:53">
      <c r="E136" s="85" t="s">
        <v>327</v>
      </c>
      <c r="F136" s="85" t="s">
        <v>328</v>
      </c>
      <c r="G136" s="85" t="s">
        <v>329</v>
      </c>
      <c r="H136" s="85" t="s">
        <v>330</v>
      </c>
      <c r="I136" s="85" t="s">
        <v>331</v>
      </c>
      <c r="J136" s="85" t="s">
        <v>333</v>
      </c>
      <c r="P136" s="85" t="s">
        <v>327</v>
      </c>
      <c r="Q136" s="85" t="s">
        <v>328</v>
      </c>
      <c r="R136" s="85" t="s">
        <v>329</v>
      </c>
      <c r="S136" s="85" t="s">
        <v>330</v>
      </c>
      <c r="T136" s="85" t="s">
        <v>331</v>
      </c>
      <c r="U136" s="85" t="s">
        <v>333</v>
      </c>
      <c r="X136" s="85" t="s">
        <v>327</v>
      </c>
      <c r="Y136" s="85" t="s">
        <v>328</v>
      </c>
      <c r="Z136" s="85" t="s">
        <v>329</v>
      </c>
      <c r="AA136" s="85" t="s">
        <v>330</v>
      </c>
      <c r="AB136" s="85" t="s">
        <v>331</v>
      </c>
      <c r="AC136" s="85" t="s">
        <v>333</v>
      </c>
      <c r="AF136" s="85" t="s">
        <v>327</v>
      </c>
      <c r="AG136" s="85" t="s">
        <v>328</v>
      </c>
      <c r="AH136" s="85" t="s">
        <v>329</v>
      </c>
      <c r="AI136" s="85" t="s">
        <v>330</v>
      </c>
      <c r="AJ136" s="85" t="s">
        <v>331</v>
      </c>
      <c r="AK136" s="85" t="s">
        <v>333</v>
      </c>
      <c r="AN136" s="85" t="s">
        <v>327</v>
      </c>
      <c r="AO136" s="85" t="s">
        <v>328</v>
      </c>
      <c r="AP136" s="85" t="s">
        <v>329</v>
      </c>
      <c r="AQ136" s="85" t="s">
        <v>330</v>
      </c>
      <c r="AR136" s="85" t="s">
        <v>331</v>
      </c>
      <c r="AS136" s="85" t="s">
        <v>333</v>
      </c>
      <c r="AV136" s="85" t="s">
        <v>327</v>
      </c>
      <c r="AW136" s="85" t="s">
        <v>328</v>
      </c>
      <c r="AX136" s="85" t="s">
        <v>329</v>
      </c>
      <c r="AY136" s="85" t="s">
        <v>330</v>
      </c>
      <c r="AZ136" s="85" t="s">
        <v>331</v>
      </c>
      <c r="BA136" s="85" t="s">
        <v>333</v>
      </c>
    </row>
    <row r="137" spans="4:53">
      <c r="D137" s="85" t="s">
        <v>427</v>
      </c>
      <c r="E137" s="85" t="s">
        <v>406</v>
      </c>
      <c r="F137" s="85" t="s">
        <v>408</v>
      </c>
      <c r="G137" s="85" t="s">
        <v>403</v>
      </c>
      <c r="H137" s="85" t="s">
        <v>407</v>
      </c>
      <c r="I137" s="85" t="s">
        <v>409</v>
      </c>
      <c r="J137" s="85" t="s">
        <v>404</v>
      </c>
      <c r="O137" s="85" t="s">
        <v>427</v>
      </c>
      <c r="P137" s="85" t="s">
        <v>406</v>
      </c>
      <c r="Q137" s="85" t="s">
        <v>408</v>
      </c>
      <c r="R137" s="85" t="s">
        <v>403</v>
      </c>
      <c r="S137" s="85" t="s">
        <v>407</v>
      </c>
      <c r="T137" s="85" t="s">
        <v>409</v>
      </c>
      <c r="U137" s="85" t="s">
        <v>404</v>
      </c>
      <c r="W137" s="85" t="s">
        <v>427</v>
      </c>
      <c r="X137" s="85" t="s">
        <v>406</v>
      </c>
      <c r="Y137" s="85" t="s">
        <v>408</v>
      </c>
      <c r="Z137" s="85" t="s">
        <v>403</v>
      </c>
      <c r="AA137" s="85" t="s">
        <v>407</v>
      </c>
      <c r="AB137" s="85" t="s">
        <v>409</v>
      </c>
      <c r="AC137" s="85" t="s">
        <v>404</v>
      </c>
      <c r="AE137" s="85" t="s">
        <v>427</v>
      </c>
      <c r="AF137" s="85" t="s">
        <v>406</v>
      </c>
      <c r="AG137" s="85" t="s">
        <v>408</v>
      </c>
      <c r="AH137" s="85" t="s">
        <v>403</v>
      </c>
      <c r="AI137" s="85" t="s">
        <v>407</v>
      </c>
      <c r="AJ137" s="85" t="s">
        <v>409</v>
      </c>
      <c r="AK137" s="85" t="s">
        <v>404</v>
      </c>
      <c r="AM137" s="85" t="s">
        <v>427</v>
      </c>
      <c r="AN137" s="85" t="s">
        <v>406</v>
      </c>
      <c r="AO137" s="85" t="s">
        <v>408</v>
      </c>
      <c r="AP137" s="85" t="s">
        <v>403</v>
      </c>
      <c r="AQ137" s="85" t="s">
        <v>407</v>
      </c>
      <c r="AR137" s="85" t="s">
        <v>409</v>
      </c>
      <c r="AS137" s="85" t="s">
        <v>404</v>
      </c>
      <c r="AU137" s="85" t="s">
        <v>427</v>
      </c>
      <c r="AV137" s="85" t="s">
        <v>406</v>
      </c>
      <c r="AW137" s="85" t="s">
        <v>408</v>
      </c>
      <c r="AX137" s="85" t="s">
        <v>403</v>
      </c>
      <c r="AY137" s="85" t="s">
        <v>407</v>
      </c>
      <c r="AZ137" s="85" t="s">
        <v>409</v>
      </c>
      <c r="BA137" s="85" t="s">
        <v>404</v>
      </c>
    </row>
    <row r="138" spans="4:53">
      <c r="D138" s="283">
        <v>43629</v>
      </c>
      <c r="E138" s="85">
        <v>134.923</v>
      </c>
      <c r="F138" s="85">
        <v>135.47800000000001</v>
      </c>
      <c r="G138" s="85">
        <v>135.20099999999999</v>
      </c>
      <c r="H138" s="85">
        <v>3.7290000000000001</v>
      </c>
      <c r="I138" s="85">
        <v>3.7039999999999997</v>
      </c>
      <c r="J138" s="85">
        <v>3.7170000000000001</v>
      </c>
      <c r="O138" s="283">
        <v>43412</v>
      </c>
      <c r="P138" s="85">
        <v>112.27200000000001</v>
      </c>
      <c r="Q138" s="85">
        <v>112.738</v>
      </c>
      <c r="R138" s="85">
        <v>112.505</v>
      </c>
      <c r="S138" s="85">
        <v>4.8650000000000002</v>
      </c>
      <c r="T138" s="85">
        <v>4.8380000000000001</v>
      </c>
      <c r="U138" s="85">
        <v>4.8520000000000003</v>
      </c>
      <c r="W138" s="283">
        <v>43433</v>
      </c>
      <c r="X138" s="85">
        <v>113.041</v>
      </c>
      <c r="Y138" s="85">
        <v>113.303</v>
      </c>
      <c r="Z138" s="85">
        <v>113.172</v>
      </c>
      <c r="AA138" s="85">
        <v>4.8209999999999997</v>
      </c>
      <c r="AB138" s="85">
        <v>4.806</v>
      </c>
      <c r="AC138" s="85">
        <v>4.8129999999999997</v>
      </c>
      <c r="AE138" s="283">
        <v>43620</v>
      </c>
      <c r="AF138" s="85">
        <v>132.80500000000001</v>
      </c>
      <c r="AG138" s="85">
        <v>133.13900000000001</v>
      </c>
      <c r="AH138" s="85">
        <v>132.97200000000001</v>
      </c>
      <c r="AI138" s="85">
        <v>3.823</v>
      </c>
      <c r="AJ138" s="85">
        <v>3.8079999999999998</v>
      </c>
      <c r="AK138" s="85">
        <v>3.8159999999999998</v>
      </c>
      <c r="AM138" s="283">
        <v>43626</v>
      </c>
      <c r="AN138" s="85">
        <v>134.59399999999999</v>
      </c>
      <c r="AO138" s="85">
        <v>135.126</v>
      </c>
      <c r="AP138" s="85">
        <v>134.86000000000001</v>
      </c>
      <c r="AQ138" s="85">
        <v>3.7429999999999999</v>
      </c>
      <c r="AR138" s="85">
        <v>3.7199999999999998</v>
      </c>
      <c r="AS138" s="85">
        <v>3.7320000000000002</v>
      </c>
      <c r="AU138" s="283">
        <v>43629</v>
      </c>
      <c r="AV138" s="85">
        <v>134.923</v>
      </c>
      <c r="AW138" s="85">
        <v>135.47800000000001</v>
      </c>
      <c r="AX138" s="85">
        <v>135.20099999999999</v>
      </c>
      <c r="AY138" s="85">
        <v>3.7290000000000001</v>
      </c>
      <c r="AZ138" s="85">
        <v>3.7039999999999997</v>
      </c>
      <c r="BA138" s="85">
        <v>3.7170000000000001</v>
      </c>
    </row>
    <row r="139" spans="4:53">
      <c r="D139" s="283">
        <v>43628</v>
      </c>
      <c r="E139" s="85">
        <v>134.96</v>
      </c>
      <c r="F139" s="85">
        <v>135.45400000000001</v>
      </c>
      <c r="G139" s="85">
        <v>135.20699999999999</v>
      </c>
      <c r="H139" s="85">
        <v>3.7269999999999999</v>
      </c>
      <c r="I139" s="85">
        <v>3.706</v>
      </c>
      <c r="J139" s="85">
        <v>3.7170000000000001</v>
      </c>
      <c r="O139" s="283">
        <v>43411</v>
      </c>
      <c r="P139" s="85">
        <v>112.206</v>
      </c>
      <c r="Q139" s="85">
        <v>112.727</v>
      </c>
      <c r="R139" s="85">
        <v>112.46599999999999</v>
      </c>
      <c r="S139" s="85">
        <v>4.8689999999999998</v>
      </c>
      <c r="T139" s="85">
        <v>4.8390000000000004</v>
      </c>
      <c r="U139" s="85">
        <v>4.8540000000000001</v>
      </c>
      <c r="W139" s="283">
        <v>43432</v>
      </c>
      <c r="X139" s="85">
        <v>112.514</v>
      </c>
      <c r="Y139" s="85">
        <v>112.69</v>
      </c>
      <c r="Z139" s="85">
        <v>112.602</v>
      </c>
      <c r="AA139" s="85">
        <v>4.851</v>
      </c>
      <c r="AB139" s="85">
        <v>4.8410000000000002</v>
      </c>
      <c r="AC139" s="85">
        <v>4.8460000000000001</v>
      </c>
      <c r="AE139" s="283">
        <v>43619</v>
      </c>
      <c r="AF139" s="85">
        <v>131.809</v>
      </c>
      <c r="AG139" s="85">
        <v>132.12</v>
      </c>
      <c r="AH139" s="85">
        <v>131.965</v>
      </c>
      <c r="AI139" s="85">
        <v>3.8679999999999999</v>
      </c>
      <c r="AJ139" s="85">
        <v>3.8540000000000001</v>
      </c>
      <c r="AK139" s="85">
        <v>3.8609999999999998</v>
      </c>
      <c r="AM139" s="283">
        <v>43623</v>
      </c>
      <c r="AN139" s="85">
        <v>134.75399999999999</v>
      </c>
      <c r="AO139" s="85">
        <v>135.11500000000001</v>
      </c>
      <c r="AP139" s="85">
        <v>134.935</v>
      </c>
      <c r="AQ139" s="85">
        <v>3.7370000000000001</v>
      </c>
      <c r="AR139" s="85">
        <v>3.7210000000000001</v>
      </c>
      <c r="AS139" s="85">
        <v>3.7290000000000001</v>
      </c>
      <c r="AU139" s="283">
        <v>43628</v>
      </c>
      <c r="AV139" s="85">
        <v>134.96</v>
      </c>
      <c r="AW139" s="85">
        <v>135.45400000000001</v>
      </c>
      <c r="AX139" s="85">
        <v>135.20699999999999</v>
      </c>
      <c r="AY139" s="85">
        <v>3.7269999999999999</v>
      </c>
      <c r="AZ139" s="85">
        <v>3.706</v>
      </c>
      <c r="BA139" s="85">
        <v>3.7170000000000001</v>
      </c>
    </row>
    <row r="140" spans="4:53">
      <c r="D140" s="283">
        <v>43627</v>
      </c>
      <c r="E140" s="85">
        <v>134.714</v>
      </c>
      <c r="F140" s="85">
        <v>135.215</v>
      </c>
      <c r="G140" s="85">
        <v>134.965</v>
      </c>
      <c r="H140" s="85">
        <v>3.738</v>
      </c>
      <c r="I140" s="85">
        <v>3.7160000000000002</v>
      </c>
      <c r="J140" s="85">
        <v>3.7269999999999999</v>
      </c>
      <c r="O140" s="283">
        <v>43410</v>
      </c>
      <c r="P140" s="85">
        <v>112.17700000000001</v>
      </c>
      <c r="Q140" s="85">
        <v>112.688</v>
      </c>
      <c r="R140" s="85">
        <v>112.43300000000001</v>
      </c>
      <c r="S140" s="85">
        <v>4.87</v>
      </c>
      <c r="T140" s="85">
        <v>4.8410000000000002</v>
      </c>
      <c r="U140" s="85">
        <v>4.8559999999999999</v>
      </c>
      <c r="W140" s="283">
        <v>43431</v>
      </c>
      <c r="X140" s="85">
        <v>111.669</v>
      </c>
      <c r="Y140" s="85">
        <v>112.214</v>
      </c>
      <c r="Z140" s="85">
        <v>111.941</v>
      </c>
      <c r="AA140" s="85">
        <v>4.899</v>
      </c>
      <c r="AB140" s="85">
        <v>4.8680000000000003</v>
      </c>
      <c r="AC140" s="85">
        <v>4.883</v>
      </c>
      <c r="AE140" s="283">
        <v>43616</v>
      </c>
      <c r="AF140" s="85">
        <v>130.875</v>
      </c>
      <c r="AG140" s="85">
        <v>131.34399999999999</v>
      </c>
      <c r="AH140" s="85">
        <v>131.11000000000001</v>
      </c>
      <c r="AI140" s="85">
        <v>3.91</v>
      </c>
      <c r="AJ140" s="85">
        <v>3.8890000000000002</v>
      </c>
      <c r="AK140" s="85">
        <v>3.9</v>
      </c>
      <c r="AM140" s="283">
        <v>43622</v>
      </c>
      <c r="AN140" s="85">
        <v>133.82599999999999</v>
      </c>
      <c r="AO140" s="85">
        <v>134.21299999999999</v>
      </c>
      <c r="AP140" s="85">
        <v>134.02000000000001</v>
      </c>
      <c r="AQ140" s="85">
        <v>3.7770000000000001</v>
      </c>
      <c r="AR140" s="85">
        <v>3.76</v>
      </c>
      <c r="AS140" s="85">
        <v>3.7690000000000001</v>
      </c>
      <c r="AU140" s="283">
        <v>43627</v>
      </c>
      <c r="AV140" s="85">
        <v>134.714</v>
      </c>
      <c r="AW140" s="85">
        <v>135.215</v>
      </c>
      <c r="AX140" s="85">
        <v>134.965</v>
      </c>
      <c r="AY140" s="85">
        <v>3.738</v>
      </c>
      <c r="AZ140" s="85">
        <v>3.7160000000000002</v>
      </c>
      <c r="BA140" s="85">
        <v>3.7269999999999999</v>
      </c>
    </row>
    <row r="141" spans="4:53">
      <c r="D141" s="85" t="s">
        <v>384</v>
      </c>
      <c r="O141" s="85" t="s">
        <v>384</v>
      </c>
      <c r="W141" s="85" t="s">
        <v>384</v>
      </c>
      <c r="AE141" s="85" t="s">
        <v>384</v>
      </c>
      <c r="AM141" s="85" t="s">
        <v>384</v>
      </c>
      <c r="AU141" s="85" t="s">
        <v>384</v>
      </c>
    </row>
    <row r="142" spans="4:53">
      <c r="D142" s="85" t="s">
        <v>487</v>
      </c>
      <c r="O142" s="85" t="s">
        <v>487</v>
      </c>
      <c r="W142" s="85" t="s">
        <v>487</v>
      </c>
      <c r="AE142" s="85" t="s">
        <v>487</v>
      </c>
      <c r="AM142" s="85" t="s">
        <v>487</v>
      </c>
      <c r="AU142" s="85" t="s">
        <v>487</v>
      </c>
    </row>
    <row r="143" spans="4:53">
      <c r="E143" s="85" t="s">
        <v>327</v>
      </c>
      <c r="F143" s="85" t="s">
        <v>328</v>
      </c>
      <c r="G143" s="85" t="s">
        <v>329</v>
      </c>
      <c r="H143" s="85" t="s">
        <v>330</v>
      </c>
      <c r="I143" s="85" t="s">
        <v>331</v>
      </c>
      <c r="J143" s="85" t="s">
        <v>333</v>
      </c>
      <c r="P143" s="85" t="s">
        <v>327</v>
      </c>
      <c r="Q143" s="85" t="s">
        <v>328</v>
      </c>
      <c r="R143" s="85" t="s">
        <v>329</v>
      </c>
      <c r="S143" s="85" t="s">
        <v>330</v>
      </c>
      <c r="T143" s="85" t="s">
        <v>331</v>
      </c>
      <c r="U143" s="85" t="s">
        <v>333</v>
      </c>
      <c r="X143" s="85" t="s">
        <v>327</v>
      </c>
      <c r="Y143" s="85" t="s">
        <v>328</v>
      </c>
      <c r="Z143" s="85" t="s">
        <v>329</v>
      </c>
      <c r="AA143" s="85" t="s">
        <v>330</v>
      </c>
      <c r="AB143" s="85" t="s">
        <v>331</v>
      </c>
      <c r="AC143" s="85" t="s">
        <v>333</v>
      </c>
      <c r="AF143" s="85" t="s">
        <v>327</v>
      </c>
      <c r="AG143" s="85" t="s">
        <v>328</v>
      </c>
      <c r="AH143" s="85" t="s">
        <v>329</v>
      </c>
      <c r="AI143" s="85" t="s">
        <v>330</v>
      </c>
      <c r="AJ143" s="85" t="s">
        <v>331</v>
      </c>
      <c r="AK143" s="85" t="s">
        <v>333</v>
      </c>
      <c r="AN143" s="85" t="s">
        <v>327</v>
      </c>
      <c r="AO143" s="85" t="s">
        <v>328</v>
      </c>
      <c r="AP143" s="85" t="s">
        <v>329</v>
      </c>
      <c r="AQ143" s="85" t="s">
        <v>330</v>
      </c>
      <c r="AR143" s="85" t="s">
        <v>331</v>
      </c>
      <c r="AS143" s="85" t="s">
        <v>333</v>
      </c>
      <c r="AV143" s="85" t="s">
        <v>327</v>
      </c>
      <c r="AW143" s="85" t="s">
        <v>328</v>
      </c>
      <c r="AX143" s="85" t="s">
        <v>329</v>
      </c>
      <c r="AY143" s="85" t="s">
        <v>330</v>
      </c>
      <c r="AZ143" s="85" t="s">
        <v>331</v>
      </c>
      <c r="BA143" s="85" t="s">
        <v>333</v>
      </c>
    </row>
    <row r="144" spans="4:53">
      <c r="D144" s="85" t="s">
        <v>427</v>
      </c>
      <c r="E144" s="85" t="s">
        <v>406</v>
      </c>
      <c r="F144" s="85" t="s">
        <v>408</v>
      </c>
      <c r="G144" s="85" t="s">
        <v>403</v>
      </c>
      <c r="H144" s="85" t="s">
        <v>407</v>
      </c>
      <c r="I144" s="85" t="s">
        <v>409</v>
      </c>
      <c r="J144" s="85" t="s">
        <v>404</v>
      </c>
      <c r="O144" s="85" t="s">
        <v>427</v>
      </c>
      <c r="P144" s="85" t="s">
        <v>406</v>
      </c>
      <c r="Q144" s="85" t="s">
        <v>408</v>
      </c>
      <c r="R144" s="85" t="s">
        <v>403</v>
      </c>
      <c r="S144" s="85" t="s">
        <v>407</v>
      </c>
      <c r="T144" s="85" t="s">
        <v>409</v>
      </c>
      <c r="U144" s="85" t="s">
        <v>404</v>
      </c>
      <c r="W144" s="85" t="s">
        <v>427</v>
      </c>
      <c r="X144" s="85" t="s">
        <v>406</v>
      </c>
      <c r="Y144" s="85" t="s">
        <v>408</v>
      </c>
      <c r="Z144" s="85" t="s">
        <v>403</v>
      </c>
      <c r="AA144" s="85" t="s">
        <v>407</v>
      </c>
      <c r="AB144" s="85" t="s">
        <v>409</v>
      </c>
      <c r="AC144" s="85" t="s">
        <v>404</v>
      </c>
      <c r="AE144" s="85" t="s">
        <v>427</v>
      </c>
      <c r="AF144" s="85" t="s">
        <v>406</v>
      </c>
      <c r="AG144" s="85" t="s">
        <v>408</v>
      </c>
      <c r="AH144" s="85" t="s">
        <v>403</v>
      </c>
      <c r="AI144" s="85" t="s">
        <v>407</v>
      </c>
      <c r="AJ144" s="85" t="s">
        <v>409</v>
      </c>
      <c r="AK144" s="85" t="s">
        <v>404</v>
      </c>
      <c r="AM144" s="85" t="s">
        <v>427</v>
      </c>
      <c r="AN144" s="85" t="s">
        <v>406</v>
      </c>
      <c r="AO144" s="85" t="s">
        <v>408</v>
      </c>
      <c r="AP144" s="85" t="s">
        <v>403</v>
      </c>
      <c r="AQ144" s="85" t="s">
        <v>407</v>
      </c>
      <c r="AR144" s="85" t="s">
        <v>409</v>
      </c>
      <c r="AS144" s="85" t="s">
        <v>404</v>
      </c>
      <c r="AU144" s="85" t="s">
        <v>427</v>
      </c>
      <c r="AV144" s="85" t="s">
        <v>406</v>
      </c>
      <c r="AW144" s="85" t="s">
        <v>408</v>
      </c>
      <c r="AX144" s="85" t="s">
        <v>403</v>
      </c>
      <c r="AY144" s="85" t="s">
        <v>407</v>
      </c>
      <c r="AZ144" s="85" t="s">
        <v>409</v>
      </c>
      <c r="BA144" s="85" t="s">
        <v>404</v>
      </c>
    </row>
    <row r="145" spans="4:53">
      <c r="D145" s="85" t="e">
        <v>#N/A</v>
      </c>
      <c r="O145" s="283">
        <v>43412</v>
      </c>
      <c r="P145" s="85">
        <v>125.773</v>
      </c>
      <c r="Q145" s="85">
        <v>126.877</v>
      </c>
      <c r="R145" s="85">
        <v>126.325</v>
      </c>
      <c r="S145" s="85">
        <v>2.1520000000000001</v>
      </c>
      <c r="T145" s="85">
        <v>1.9790000000000001</v>
      </c>
      <c r="U145" s="85">
        <v>2.0659999999999998</v>
      </c>
      <c r="W145" s="283">
        <v>43433</v>
      </c>
      <c r="X145" s="85">
        <v>125.437</v>
      </c>
      <c r="Y145" s="85">
        <v>126.9</v>
      </c>
      <c r="Z145" s="85">
        <v>126.169</v>
      </c>
      <c r="AA145" s="85">
        <v>2.1680000000000001</v>
      </c>
      <c r="AB145" s="85">
        <v>1.9370000000000001</v>
      </c>
      <c r="AC145" s="85">
        <v>2.052</v>
      </c>
      <c r="AE145" s="85" t="s">
        <v>301</v>
      </c>
      <c r="AM145" s="85">
        <v>0</v>
      </c>
      <c r="AU145" s="85" t="e">
        <v>#N/A</v>
      </c>
    </row>
    <row r="146" spans="4:53">
      <c r="O146" s="283">
        <v>43411</v>
      </c>
      <c r="P146" s="85">
        <v>125.84699999999999</v>
      </c>
      <c r="Q146" s="85">
        <v>127.119</v>
      </c>
      <c r="R146" s="85">
        <v>126.483</v>
      </c>
      <c r="S146" s="85">
        <v>2.1419999999999999</v>
      </c>
      <c r="T146" s="85">
        <v>1.9430000000000001</v>
      </c>
      <c r="U146" s="85">
        <v>2.0430000000000001</v>
      </c>
      <c r="W146" s="283">
        <v>43432</v>
      </c>
      <c r="X146" s="85">
        <v>125.434</v>
      </c>
      <c r="Y146" s="85">
        <v>126.884</v>
      </c>
      <c r="Z146" s="85">
        <v>126.15900000000001</v>
      </c>
      <c r="AA146" s="85">
        <v>2.17</v>
      </c>
      <c r="AB146" s="85">
        <v>1.9409999999999998</v>
      </c>
      <c r="AC146" s="85">
        <v>2.0550000000000002</v>
      </c>
    </row>
    <row r="147" spans="4:53">
      <c r="O147" s="283">
        <v>43410</v>
      </c>
      <c r="P147" s="85">
        <v>125.9</v>
      </c>
      <c r="Q147" s="85">
        <v>127.107</v>
      </c>
      <c r="R147" s="85">
        <v>126.504</v>
      </c>
      <c r="S147" s="85">
        <v>2.1390000000000002</v>
      </c>
      <c r="T147" s="85">
        <v>1.9510000000000001</v>
      </c>
      <c r="U147" s="85">
        <v>2.0449999999999999</v>
      </c>
      <c r="W147" s="283">
        <v>43431</v>
      </c>
      <c r="X147" s="85">
        <v>125.41500000000001</v>
      </c>
      <c r="Y147" s="85">
        <v>126.846</v>
      </c>
      <c r="Z147" s="85">
        <v>126.131</v>
      </c>
      <c r="AA147" s="85">
        <v>2.1779999999999999</v>
      </c>
      <c r="AB147" s="85">
        <v>1.9529999999999998</v>
      </c>
      <c r="AC147" s="85">
        <v>2.0649999999999999</v>
      </c>
    </row>
    <row r="148" spans="4:53">
      <c r="D148" s="85" t="s">
        <v>379</v>
      </c>
      <c r="O148" s="85" t="s">
        <v>379</v>
      </c>
      <c r="W148" s="85" t="s">
        <v>379</v>
      </c>
      <c r="AE148" s="85" t="s">
        <v>379</v>
      </c>
      <c r="AM148" s="85" t="s">
        <v>379</v>
      </c>
      <c r="AU148" s="85" t="s">
        <v>379</v>
      </c>
    </row>
    <row r="149" spans="4:53">
      <c r="D149" s="85" t="s">
        <v>488</v>
      </c>
      <c r="O149" s="85" t="s">
        <v>488</v>
      </c>
      <c r="W149" s="85" t="s">
        <v>488</v>
      </c>
      <c r="AE149" s="85" t="s">
        <v>488</v>
      </c>
      <c r="AM149" s="85" t="s">
        <v>488</v>
      </c>
      <c r="AU149" s="85" t="s">
        <v>488</v>
      </c>
    </row>
    <row r="150" spans="4:53">
      <c r="E150" s="85" t="s">
        <v>327</v>
      </c>
      <c r="F150" s="85" t="s">
        <v>328</v>
      </c>
      <c r="G150" s="85" t="s">
        <v>329</v>
      </c>
      <c r="H150" s="85" t="s">
        <v>330</v>
      </c>
      <c r="I150" s="85" t="s">
        <v>331</v>
      </c>
      <c r="J150" s="85" t="s">
        <v>333</v>
      </c>
      <c r="P150" s="85" t="s">
        <v>327</v>
      </c>
      <c r="Q150" s="85" t="s">
        <v>328</v>
      </c>
      <c r="R150" s="85" t="s">
        <v>329</v>
      </c>
      <c r="S150" s="85" t="s">
        <v>330</v>
      </c>
      <c r="T150" s="85" t="s">
        <v>331</v>
      </c>
      <c r="U150" s="85" t="s">
        <v>333</v>
      </c>
      <c r="X150" s="85" t="s">
        <v>327</v>
      </c>
      <c r="Y150" s="85" t="s">
        <v>328</v>
      </c>
      <c r="Z150" s="85" t="s">
        <v>329</v>
      </c>
      <c r="AA150" s="85" t="s">
        <v>330</v>
      </c>
      <c r="AB150" s="85" t="s">
        <v>331</v>
      </c>
      <c r="AC150" s="85" t="s">
        <v>333</v>
      </c>
      <c r="AF150" s="85" t="s">
        <v>327</v>
      </c>
      <c r="AG150" s="85" t="s">
        <v>328</v>
      </c>
      <c r="AH150" s="85" t="s">
        <v>329</v>
      </c>
      <c r="AI150" s="85" t="s">
        <v>330</v>
      </c>
      <c r="AJ150" s="85" t="s">
        <v>331</v>
      </c>
      <c r="AK150" s="85" t="s">
        <v>333</v>
      </c>
      <c r="AN150" s="85" t="s">
        <v>327</v>
      </c>
      <c r="AO150" s="85" t="s">
        <v>328</v>
      </c>
      <c r="AP150" s="85" t="s">
        <v>329</v>
      </c>
      <c r="AQ150" s="85" t="s">
        <v>330</v>
      </c>
      <c r="AR150" s="85" t="s">
        <v>331</v>
      </c>
      <c r="AS150" s="85" t="s">
        <v>333</v>
      </c>
      <c r="AV150" s="85" t="s">
        <v>327</v>
      </c>
      <c r="AW150" s="85" t="s">
        <v>328</v>
      </c>
      <c r="AX150" s="85" t="s">
        <v>329</v>
      </c>
      <c r="AY150" s="85" t="s">
        <v>330</v>
      </c>
      <c r="AZ150" s="85" t="s">
        <v>331</v>
      </c>
      <c r="BA150" s="85" t="s">
        <v>333</v>
      </c>
    </row>
    <row r="151" spans="4:53">
      <c r="D151" s="85" t="s">
        <v>427</v>
      </c>
      <c r="E151" s="85" t="s">
        <v>406</v>
      </c>
      <c r="F151" s="85" t="s">
        <v>408</v>
      </c>
      <c r="G151" s="85" t="s">
        <v>403</v>
      </c>
      <c r="H151" s="85" t="s">
        <v>407</v>
      </c>
      <c r="I151" s="85" t="s">
        <v>409</v>
      </c>
      <c r="J151" s="85" t="s">
        <v>404</v>
      </c>
      <c r="O151" s="85" t="s">
        <v>427</v>
      </c>
      <c r="P151" s="85" t="s">
        <v>406</v>
      </c>
      <c r="Q151" s="85" t="s">
        <v>408</v>
      </c>
      <c r="R151" s="85" t="s">
        <v>403</v>
      </c>
      <c r="S151" s="85" t="s">
        <v>407</v>
      </c>
      <c r="T151" s="85" t="s">
        <v>409</v>
      </c>
      <c r="U151" s="85" t="s">
        <v>404</v>
      </c>
      <c r="W151" s="85" t="s">
        <v>427</v>
      </c>
      <c r="X151" s="85" t="s">
        <v>406</v>
      </c>
      <c r="Y151" s="85" t="s">
        <v>408</v>
      </c>
      <c r="Z151" s="85" t="s">
        <v>403</v>
      </c>
      <c r="AA151" s="85" t="s">
        <v>407</v>
      </c>
      <c r="AB151" s="85" t="s">
        <v>409</v>
      </c>
      <c r="AC151" s="85" t="s">
        <v>404</v>
      </c>
      <c r="AE151" s="85" t="s">
        <v>427</v>
      </c>
      <c r="AF151" s="85" t="s">
        <v>406</v>
      </c>
      <c r="AG151" s="85" t="s">
        <v>408</v>
      </c>
      <c r="AH151" s="85" t="s">
        <v>403</v>
      </c>
      <c r="AI151" s="85" t="s">
        <v>407</v>
      </c>
      <c r="AJ151" s="85" t="s">
        <v>409</v>
      </c>
      <c r="AK151" s="85" t="s">
        <v>404</v>
      </c>
      <c r="AM151" s="85" t="s">
        <v>427</v>
      </c>
      <c r="AN151" s="85" t="s">
        <v>406</v>
      </c>
      <c r="AO151" s="85" t="s">
        <v>408</v>
      </c>
      <c r="AP151" s="85" t="s">
        <v>403</v>
      </c>
      <c r="AQ151" s="85" t="s">
        <v>407</v>
      </c>
      <c r="AR151" s="85" t="s">
        <v>409</v>
      </c>
      <c r="AS151" s="85" t="s">
        <v>404</v>
      </c>
      <c r="AU151" s="85" t="s">
        <v>427</v>
      </c>
      <c r="AV151" s="85" t="s">
        <v>406</v>
      </c>
      <c r="AW151" s="85" t="s">
        <v>408</v>
      </c>
      <c r="AX151" s="85" t="s">
        <v>403</v>
      </c>
      <c r="AY151" s="85" t="s">
        <v>407</v>
      </c>
      <c r="AZ151" s="85" t="s">
        <v>409</v>
      </c>
      <c r="BA151" s="85" t="s">
        <v>404</v>
      </c>
    </row>
    <row r="152" spans="4:53">
      <c r="D152" s="85" t="e">
        <v>#N/A</v>
      </c>
      <c r="O152" s="283">
        <v>43412</v>
      </c>
      <c r="P152" s="85">
        <v>102.48</v>
      </c>
      <c r="Q152" s="85">
        <v>103.82899999999999</v>
      </c>
      <c r="R152" s="85">
        <v>103.155</v>
      </c>
      <c r="S152" s="85">
        <v>2.6109999999999998</v>
      </c>
      <c r="T152" s="85">
        <v>2.4750000000000001</v>
      </c>
      <c r="U152" s="85">
        <v>2.5430000000000001</v>
      </c>
      <c r="W152" s="283">
        <v>43433</v>
      </c>
      <c r="X152" s="85">
        <v>101.822</v>
      </c>
      <c r="Y152" s="85">
        <v>103.1</v>
      </c>
      <c r="Z152" s="85">
        <v>102.461</v>
      </c>
      <c r="AA152" s="85">
        <v>2.6779999999999999</v>
      </c>
      <c r="AB152" s="85">
        <v>2.5470000000000002</v>
      </c>
      <c r="AC152" s="85">
        <v>2.6120000000000001</v>
      </c>
      <c r="AE152" s="85" t="s">
        <v>301</v>
      </c>
      <c r="AM152" s="85">
        <v>0</v>
      </c>
      <c r="AU152" s="85" t="e">
        <v>#N/A</v>
      </c>
    </row>
    <row r="153" spans="4:53">
      <c r="O153" s="283">
        <v>43411</v>
      </c>
      <c r="P153" s="85">
        <v>102.45399999999999</v>
      </c>
      <c r="Q153" s="85">
        <v>103.821</v>
      </c>
      <c r="R153" s="85">
        <v>103.137</v>
      </c>
      <c r="S153" s="85">
        <v>2.6139999999999999</v>
      </c>
      <c r="T153" s="85">
        <v>2.476</v>
      </c>
      <c r="U153" s="85">
        <v>2.5449999999999999</v>
      </c>
      <c r="W153" s="283">
        <v>43432</v>
      </c>
      <c r="X153" s="85">
        <v>101.825</v>
      </c>
      <c r="Y153" s="85">
        <v>103.1</v>
      </c>
      <c r="Z153" s="85">
        <v>102.462</v>
      </c>
      <c r="AA153" s="85">
        <v>2.677</v>
      </c>
      <c r="AB153" s="85">
        <v>2.5470000000000002</v>
      </c>
      <c r="AC153" s="85">
        <v>2.6120000000000001</v>
      </c>
    </row>
    <row r="154" spans="4:53">
      <c r="O154" s="283">
        <v>43410</v>
      </c>
      <c r="P154" s="85">
        <v>102.256</v>
      </c>
      <c r="Q154" s="85">
        <v>103.651</v>
      </c>
      <c r="R154" s="85">
        <v>102.953</v>
      </c>
      <c r="S154" s="85">
        <v>2.6339999999999999</v>
      </c>
      <c r="T154" s="85">
        <v>2.4929999999999999</v>
      </c>
      <c r="U154" s="85">
        <v>2.5629999999999997</v>
      </c>
      <c r="W154" s="283">
        <v>43431</v>
      </c>
      <c r="X154" s="85">
        <v>101.992</v>
      </c>
      <c r="Y154" s="85">
        <v>103.268</v>
      </c>
      <c r="Z154" s="85">
        <v>102.63</v>
      </c>
      <c r="AA154" s="85">
        <v>2.66</v>
      </c>
      <c r="AB154" s="85">
        <v>2.5300000000000002</v>
      </c>
      <c r="AC154" s="85">
        <v>2.5949999999999998</v>
      </c>
    </row>
    <row r="155" spans="4:53">
      <c r="D155" s="85" t="s">
        <v>380</v>
      </c>
      <c r="O155" s="85" t="s">
        <v>380</v>
      </c>
      <c r="W155" s="85" t="s">
        <v>380</v>
      </c>
      <c r="AE155" s="85" t="s">
        <v>380</v>
      </c>
      <c r="AM155" s="85" t="s">
        <v>380</v>
      </c>
      <c r="AU155" s="85" t="s">
        <v>380</v>
      </c>
    </row>
    <row r="156" spans="4:53">
      <c r="D156" s="85" t="s">
        <v>489</v>
      </c>
      <c r="O156" s="85" t="s">
        <v>489</v>
      </c>
      <c r="W156" s="85" t="s">
        <v>489</v>
      </c>
      <c r="AE156" s="85" t="s">
        <v>489</v>
      </c>
      <c r="AM156" s="85" t="s">
        <v>489</v>
      </c>
      <c r="AU156" s="85" t="s">
        <v>489</v>
      </c>
    </row>
    <row r="157" spans="4:53">
      <c r="E157" s="85" t="s">
        <v>327</v>
      </c>
      <c r="F157" s="85" t="s">
        <v>328</v>
      </c>
      <c r="G157" s="85" t="s">
        <v>329</v>
      </c>
      <c r="H157" s="85" t="s">
        <v>330</v>
      </c>
      <c r="I157" s="85" t="s">
        <v>331</v>
      </c>
      <c r="J157" s="85" t="s">
        <v>333</v>
      </c>
      <c r="P157" s="85" t="s">
        <v>327</v>
      </c>
      <c r="Q157" s="85" t="s">
        <v>328</v>
      </c>
      <c r="R157" s="85" t="s">
        <v>329</v>
      </c>
      <c r="S157" s="85" t="s">
        <v>330</v>
      </c>
      <c r="T157" s="85" t="s">
        <v>331</v>
      </c>
      <c r="U157" s="85" t="s">
        <v>333</v>
      </c>
      <c r="X157" s="85" t="s">
        <v>327</v>
      </c>
      <c r="Y157" s="85" t="s">
        <v>328</v>
      </c>
      <c r="Z157" s="85" t="s">
        <v>329</v>
      </c>
      <c r="AA157" s="85" t="s">
        <v>330</v>
      </c>
      <c r="AB157" s="85" t="s">
        <v>331</v>
      </c>
      <c r="AC157" s="85" t="s">
        <v>333</v>
      </c>
      <c r="AF157" s="85" t="s">
        <v>327</v>
      </c>
      <c r="AG157" s="85" t="s">
        <v>328</v>
      </c>
      <c r="AH157" s="85" t="s">
        <v>329</v>
      </c>
      <c r="AI157" s="85" t="s">
        <v>330</v>
      </c>
      <c r="AJ157" s="85" t="s">
        <v>331</v>
      </c>
      <c r="AK157" s="85" t="s">
        <v>333</v>
      </c>
      <c r="AN157" s="85" t="s">
        <v>327</v>
      </c>
      <c r="AO157" s="85" t="s">
        <v>328</v>
      </c>
      <c r="AP157" s="85" t="s">
        <v>329</v>
      </c>
      <c r="AQ157" s="85" t="s">
        <v>330</v>
      </c>
      <c r="AR157" s="85" t="s">
        <v>331</v>
      </c>
      <c r="AS157" s="85" t="s">
        <v>333</v>
      </c>
      <c r="AV157" s="85" t="s">
        <v>327</v>
      </c>
      <c r="AW157" s="85" t="s">
        <v>328</v>
      </c>
      <c r="AX157" s="85" t="s">
        <v>329</v>
      </c>
      <c r="AY157" s="85" t="s">
        <v>330</v>
      </c>
      <c r="AZ157" s="85" t="s">
        <v>331</v>
      </c>
      <c r="BA157" s="85" t="s">
        <v>333</v>
      </c>
    </row>
    <row r="158" spans="4:53">
      <c r="D158" s="85" t="s">
        <v>427</v>
      </c>
      <c r="E158" s="85" t="s">
        <v>406</v>
      </c>
      <c r="F158" s="85" t="s">
        <v>408</v>
      </c>
      <c r="G158" s="85" t="s">
        <v>403</v>
      </c>
      <c r="H158" s="85" t="s">
        <v>407</v>
      </c>
      <c r="I158" s="85" t="s">
        <v>409</v>
      </c>
      <c r="J158" s="85" t="s">
        <v>404</v>
      </c>
      <c r="O158" s="85" t="s">
        <v>427</v>
      </c>
      <c r="P158" s="85" t="s">
        <v>406</v>
      </c>
      <c r="Q158" s="85" t="s">
        <v>408</v>
      </c>
      <c r="R158" s="85" t="s">
        <v>403</v>
      </c>
      <c r="S158" s="85" t="s">
        <v>407</v>
      </c>
      <c r="T158" s="85" t="s">
        <v>409</v>
      </c>
      <c r="U158" s="85" t="s">
        <v>404</v>
      </c>
      <c r="W158" s="85" t="s">
        <v>427</v>
      </c>
      <c r="X158" s="85" t="s">
        <v>406</v>
      </c>
      <c r="Y158" s="85" t="s">
        <v>408</v>
      </c>
      <c r="Z158" s="85" t="s">
        <v>403</v>
      </c>
      <c r="AA158" s="85" t="s">
        <v>407</v>
      </c>
      <c r="AB158" s="85" t="s">
        <v>409</v>
      </c>
      <c r="AC158" s="85" t="s">
        <v>404</v>
      </c>
      <c r="AE158" s="85" t="s">
        <v>427</v>
      </c>
      <c r="AF158" s="85" t="s">
        <v>406</v>
      </c>
      <c r="AG158" s="85" t="s">
        <v>408</v>
      </c>
      <c r="AH158" s="85" t="s">
        <v>403</v>
      </c>
      <c r="AI158" s="85" t="s">
        <v>407</v>
      </c>
      <c r="AJ158" s="85" t="s">
        <v>409</v>
      </c>
      <c r="AK158" s="85" t="s">
        <v>404</v>
      </c>
      <c r="AM158" s="85" t="s">
        <v>427</v>
      </c>
      <c r="AN158" s="85" t="s">
        <v>406</v>
      </c>
      <c r="AO158" s="85" t="s">
        <v>408</v>
      </c>
      <c r="AP158" s="85" t="s">
        <v>403</v>
      </c>
      <c r="AQ158" s="85" t="s">
        <v>407</v>
      </c>
      <c r="AR158" s="85" t="s">
        <v>409</v>
      </c>
      <c r="AS158" s="85" t="s">
        <v>404</v>
      </c>
      <c r="AU158" s="85" t="s">
        <v>427</v>
      </c>
      <c r="AV158" s="85" t="s">
        <v>406</v>
      </c>
      <c r="AW158" s="85" t="s">
        <v>408</v>
      </c>
      <c r="AX158" s="85" t="s">
        <v>403</v>
      </c>
      <c r="AY158" s="85" t="s">
        <v>407</v>
      </c>
      <c r="AZ158" s="85" t="s">
        <v>409</v>
      </c>
      <c r="BA158" s="85" t="s">
        <v>404</v>
      </c>
    </row>
    <row r="159" spans="4:53">
      <c r="D159" s="85" t="e">
        <v>#N/A</v>
      </c>
      <c r="O159" s="283">
        <v>43412</v>
      </c>
      <c r="P159" s="85">
        <v>156.99100000000001</v>
      </c>
      <c r="Q159" s="85">
        <v>158.917</v>
      </c>
      <c r="R159" s="85">
        <v>157.95400000000001</v>
      </c>
      <c r="S159" s="85">
        <v>2.9220000000000002</v>
      </c>
      <c r="T159" s="85">
        <v>2.8109999999999999</v>
      </c>
      <c r="U159" s="85">
        <v>2.8660000000000001</v>
      </c>
      <c r="W159" s="283">
        <v>43433</v>
      </c>
      <c r="X159" s="85">
        <v>156.25800000000001</v>
      </c>
      <c r="Y159" s="85">
        <v>158.97499999999999</v>
      </c>
      <c r="Z159" s="85">
        <v>157.61600000000001</v>
      </c>
      <c r="AA159" s="85">
        <v>2.956</v>
      </c>
      <c r="AB159" s="85">
        <v>2.798</v>
      </c>
      <c r="AC159" s="85">
        <v>2.8769999999999998</v>
      </c>
      <c r="AE159" s="85" t="s">
        <v>301</v>
      </c>
      <c r="AM159" s="85">
        <v>0</v>
      </c>
      <c r="AU159" s="85" t="e">
        <v>#N/A</v>
      </c>
    </row>
    <row r="160" spans="4:53">
      <c r="O160" s="283">
        <v>43411</v>
      </c>
      <c r="P160" s="85">
        <v>156.97</v>
      </c>
      <c r="Q160" s="85">
        <v>158.583</v>
      </c>
      <c r="R160" s="85">
        <v>157.77699999999999</v>
      </c>
      <c r="S160" s="85">
        <v>2.9239999999999999</v>
      </c>
      <c r="T160" s="85">
        <v>2.831</v>
      </c>
      <c r="U160" s="85">
        <v>2.8769999999999998</v>
      </c>
      <c r="W160" s="283">
        <v>43432</v>
      </c>
      <c r="X160" s="85">
        <v>156.35499999999999</v>
      </c>
      <c r="Y160" s="85">
        <v>158.98500000000001</v>
      </c>
      <c r="Z160" s="85">
        <v>157.66999999999999</v>
      </c>
      <c r="AA160" s="85">
        <v>2.9510000000000001</v>
      </c>
      <c r="AB160" s="85">
        <v>2.798</v>
      </c>
      <c r="AC160" s="85">
        <v>2.8740000000000001</v>
      </c>
    </row>
    <row r="161" spans="4:53">
      <c r="O161" s="283">
        <v>43410</v>
      </c>
      <c r="P161" s="85">
        <v>156.643</v>
      </c>
      <c r="Q161" s="85">
        <v>158.768</v>
      </c>
      <c r="R161" s="85">
        <v>157.70599999999999</v>
      </c>
      <c r="S161" s="85">
        <v>2.944</v>
      </c>
      <c r="T161" s="85">
        <v>2.8209999999999997</v>
      </c>
      <c r="U161" s="85">
        <v>2.8820000000000001</v>
      </c>
      <c r="W161" s="283">
        <v>43431</v>
      </c>
      <c r="X161" s="85">
        <v>156.38999999999999</v>
      </c>
      <c r="Y161" s="85">
        <v>159.03299999999999</v>
      </c>
      <c r="Z161" s="85">
        <v>157.71100000000001</v>
      </c>
      <c r="AA161" s="85">
        <v>2.95</v>
      </c>
      <c r="AB161" s="85">
        <v>2.7970000000000002</v>
      </c>
      <c r="AC161" s="85">
        <v>2.8730000000000002</v>
      </c>
    </row>
    <row r="162" spans="4:53">
      <c r="D162" s="85" t="s">
        <v>381</v>
      </c>
      <c r="O162" s="85" t="s">
        <v>381</v>
      </c>
      <c r="W162" s="85" t="s">
        <v>381</v>
      </c>
      <c r="AE162" s="85" t="s">
        <v>381</v>
      </c>
      <c r="AM162" s="85" t="s">
        <v>381</v>
      </c>
      <c r="AU162" s="85" t="s">
        <v>381</v>
      </c>
    </row>
    <row r="163" spans="4:53">
      <c r="D163" s="85" t="s">
        <v>490</v>
      </c>
      <c r="O163" s="85" t="s">
        <v>490</v>
      </c>
      <c r="W163" s="85" t="s">
        <v>490</v>
      </c>
      <c r="AE163" s="85" t="s">
        <v>490</v>
      </c>
      <c r="AM163" s="85" t="s">
        <v>490</v>
      </c>
      <c r="AU163" s="85" t="s">
        <v>490</v>
      </c>
    </row>
    <row r="164" spans="4:53">
      <c r="E164" s="85" t="s">
        <v>327</v>
      </c>
      <c r="F164" s="85" t="s">
        <v>328</v>
      </c>
      <c r="G164" s="85" t="s">
        <v>329</v>
      </c>
      <c r="H164" s="85" t="s">
        <v>330</v>
      </c>
      <c r="I164" s="85" t="s">
        <v>331</v>
      </c>
      <c r="J164" s="85" t="s">
        <v>333</v>
      </c>
      <c r="P164" s="85" t="s">
        <v>327</v>
      </c>
      <c r="Q164" s="85" t="s">
        <v>328</v>
      </c>
      <c r="R164" s="85" t="s">
        <v>329</v>
      </c>
      <c r="S164" s="85" t="s">
        <v>330</v>
      </c>
      <c r="T164" s="85" t="s">
        <v>331</v>
      </c>
      <c r="U164" s="85" t="s">
        <v>333</v>
      </c>
      <c r="X164" s="85" t="s">
        <v>327</v>
      </c>
      <c r="Y164" s="85" t="s">
        <v>328</v>
      </c>
      <c r="Z164" s="85" t="s">
        <v>329</v>
      </c>
      <c r="AA164" s="85" t="s">
        <v>330</v>
      </c>
      <c r="AB164" s="85" t="s">
        <v>331</v>
      </c>
      <c r="AC164" s="85" t="s">
        <v>333</v>
      </c>
      <c r="AF164" s="85" t="s">
        <v>327</v>
      </c>
      <c r="AG164" s="85" t="s">
        <v>328</v>
      </c>
      <c r="AH164" s="85" t="s">
        <v>329</v>
      </c>
      <c r="AI164" s="85" t="s">
        <v>330</v>
      </c>
      <c r="AJ164" s="85" t="s">
        <v>331</v>
      </c>
      <c r="AK164" s="85" t="s">
        <v>333</v>
      </c>
      <c r="AN164" s="85" t="s">
        <v>327</v>
      </c>
      <c r="AO164" s="85" t="s">
        <v>328</v>
      </c>
      <c r="AP164" s="85" t="s">
        <v>329</v>
      </c>
      <c r="AQ164" s="85" t="s">
        <v>330</v>
      </c>
      <c r="AR164" s="85" t="s">
        <v>331</v>
      </c>
      <c r="AS164" s="85" t="s">
        <v>333</v>
      </c>
      <c r="AV164" s="85" t="s">
        <v>327</v>
      </c>
      <c r="AW164" s="85" t="s">
        <v>328</v>
      </c>
      <c r="AX164" s="85" t="s">
        <v>329</v>
      </c>
      <c r="AY164" s="85" t="s">
        <v>330</v>
      </c>
      <c r="AZ164" s="85" t="s">
        <v>331</v>
      </c>
      <c r="BA164" s="85" t="s">
        <v>333</v>
      </c>
    </row>
    <row r="165" spans="4:53">
      <c r="D165" s="85" t="s">
        <v>427</v>
      </c>
      <c r="E165" s="85" t="s">
        <v>406</v>
      </c>
      <c r="F165" s="85" t="s">
        <v>408</v>
      </c>
      <c r="G165" s="85" t="s">
        <v>403</v>
      </c>
      <c r="H165" s="85" t="s">
        <v>407</v>
      </c>
      <c r="I165" s="85" t="s">
        <v>409</v>
      </c>
      <c r="J165" s="85" t="s">
        <v>404</v>
      </c>
      <c r="O165" s="85" t="s">
        <v>427</v>
      </c>
      <c r="P165" s="85" t="s">
        <v>406</v>
      </c>
      <c r="Q165" s="85" t="s">
        <v>408</v>
      </c>
      <c r="R165" s="85" t="s">
        <v>403</v>
      </c>
      <c r="S165" s="85" t="s">
        <v>407</v>
      </c>
      <c r="T165" s="85" t="s">
        <v>409</v>
      </c>
      <c r="U165" s="85" t="s">
        <v>404</v>
      </c>
      <c r="W165" s="85" t="s">
        <v>427</v>
      </c>
      <c r="X165" s="85" t="s">
        <v>406</v>
      </c>
      <c r="Y165" s="85" t="s">
        <v>408</v>
      </c>
      <c r="Z165" s="85" t="s">
        <v>403</v>
      </c>
      <c r="AA165" s="85" t="s">
        <v>407</v>
      </c>
      <c r="AB165" s="85" t="s">
        <v>409</v>
      </c>
      <c r="AC165" s="85" t="s">
        <v>404</v>
      </c>
      <c r="AE165" s="85" t="s">
        <v>427</v>
      </c>
      <c r="AF165" s="85" t="s">
        <v>406</v>
      </c>
      <c r="AG165" s="85" t="s">
        <v>408</v>
      </c>
      <c r="AH165" s="85" t="s">
        <v>403</v>
      </c>
      <c r="AI165" s="85" t="s">
        <v>407</v>
      </c>
      <c r="AJ165" s="85" t="s">
        <v>409</v>
      </c>
      <c r="AK165" s="85" t="s">
        <v>404</v>
      </c>
      <c r="AM165" s="85" t="s">
        <v>427</v>
      </c>
      <c r="AN165" s="85" t="s">
        <v>406</v>
      </c>
      <c r="AO165" s="85" t="s">
        <v>408</v>
      </c>
      <c r="AP165" s="85" t="s">
        <v>403</v>
      </c>
      <c r="AQ165" s="85" t="s">
        <v>407</v>
      </c>
      <c r="AR165" s="85" t="s">
        <v>409</v>
      </c>
      <c r="AS165" s="85" t="s">
        <v>404</v>
      </c>
      <c r="AU165" s="85" t="s">
        <v>427</v>
      </c>
      <c r="AV165" s="85" t="s">
        <v>406</v>
      </c>
      <c r="AW165" s="85" t="s">
        <v>408</v>
      </c>
      <c r="AX165" s="85" t="s">
        <v>403</v>
      </c>
      <c r="AY165" s="85" t="s">
        <v>407</v>
      </c>
      <c r="AZ165" s="85" t="s">
        <v>409</v>
      </c>
      <c r="BA165" s="85" t="s">
        <v>404</v>
      </c>
    </row>
    <row r="166" spans="4:53">
      <c r="D166" s="85" t="e">
        <v>#N/A</v>
      </c>
      <c r="O166" s="283">
        <v>43412</v>
      </c>
      <c r="P166" s="85">
        <v>99.165000000000006</v>
      </c>
      <c r="Q166" s="85">
        <v>100.679</v>
      </c>
      <c r="R166" s="85">
        <v>99.921999999999997</v>
      </c>
      <c r="S166" s="85">
        <v>3.1739999999999999</v>
      </c>
      <c r="T166" s="85">
        <v>3.0750000000000002</v>
      </c>
      <c r="U166" s="85">
        <v>3.1240000000000001</v>
      </c>
      <c r="W166" s="283">
        <v>43433</v>
      </c>
      <c r="X166" s="85">
        <v>100.069</v>
      </c>
      <c r="Y166" s="85">
        <v>101.565</v>
      </c>
      <c r="Z166" s="85">
        <v>100.81699999999999</v>
      </c>
      <c r="AA166" s="85">
        <v>3.1150000000000002</v>
      </c>
      <c r="AB166" s="85">
        <v>3.0190000000000001</v>
      </c>
      <c r="AC166" s="85">
        <v>3.0670000000000002</v>
      </c>
      <c r="AE166" s="85" t="s">
        <v>301</v>
      </c>
      <c r="AM166" s="85">
        <v>0</v>
      </c>
      <c r="AU166" s="85" t="e">
        <v>#N/A</v>
      </c>
    </row>
    <row r="167" spans="4:53">
      <c r="O167" s="283">
        <v>43411</v>
      </c>
      <c r="P167" s="85">
        <v>99.293999999999997</v>
      </c>
      <c r="Q167" s="85">
        <v>100.764</v>
      </c>
      <c r="R167" s="85">
        <v>100.029</v>
      </c>
      <c r="S167" s="85">
        <v>3.165</v>
      </c>
      <c r="T167" s="85">
        <v>3.07</v>
      </c>
      <c r="U167" s="85">
        <v>3.117</v>
      </c>
      <c r="W167" s="283">
        <v>43432</v>
      </c>
      <c r="X167" s="85">
        <v>100.128</v>
      </c>
      <c r="Y167" s="85">
        <v>101.61199999999999</v>
      </c>
      <c r="Z167" s="85">
        <v>100.87</v>
      </c>
      <c r="AA167" s="85">
        <v>3.1110000000000002</v>
      </c>
      <c r="AB167" s="85">
        <v>3.016</v>
      </c>
      <c r="AC167" s="85">
        <v>3.0630000000000002</v>
      </c>
    </row>
    <row r="168" spans="4:53">
      <c r="O168" s="283">
        <v>43410</v>
      </c>
      <c r="P168" s="85">
        <v>99.022000000000006</v>
      </c>
      <c r="Q168" s="85">
        <v>100.547</v>
      </c>
      <c r="R168" s="85">
        <v>99.784000000000006</v>
      </c>
      <c r="S168" s="85">
        <v>3.1829999999999998</v>
      </c>
      <c r="T168" s="85">
        <v>3.0840000000000001</v>
      </c>
      <c r="U168" s="85">
        <v>3.133</v>
      </c>
      <c r="W168" s="283">
        <v>43431</v>
      </c>
      <c r="X168" s="85">
        <v>100.134</v>
      </c>
      <c r="Y168" s="85">
        <v>101.629</v>
      </c>
      <c r="Z168" s="85">
        <v>100.88200000000001</v>
      </c>
      <c r="AA168" s="85">
        <v>3.1110000000000002</v>
      </c>
      <c r="AB168" s="85">
        <v>3.0150000000000001</v>
      </c>
      <c r="AC168" s="85">
        <v>3.0619999999999998</v>
      </c>
    </row>
    <row r="169" spans="4:53">
      <c r="D169" s="85" t="s">
        <v>382</v>
      </c>
      <c r="O169" s="85" t="s">
        <v>382</v>
      </c>
      <c r="W169" s="85" t="s">
        <v>382</v>
      </c>
      <c r="AE169" s="85" t="s">
        <v>382</v>
      </c>
      <c r="AM169" s="85" t="s">
        <v>382</v>
      </c>
      <c r="AU169" s="85" t="s">
        <v>382</v>
      </c>
    </row>
    <row r="170" spans="4:53">
      <c r="D170" s="85" t="s">
        <v>491</v>
      </c>
      <c r="O170" s="85" t="s">
        <v>491</v>
      </c>
      <c r="W170" s="85" t="s">
        <v>491</v>
      </c>
      <c r="AE170" s="85" t="s">
        <v>491</v>
      </c>
      <c r="AM170" s="85" t="s">
        <v>491</v>
      </c>
      <c r="AU170" s="85" t="s">
        <v>491</v>
      </c>
    </row>
    <row r="171" spans="4:53">
      <c r="E171" s="85" t="s">
        <v>327</v>
      </c>
      <c r="F171" s="85" t="s">
        <v>328</v>
      </c>
      <c r="G171" s="85" t="s">
        <v>329</v>
      </c>
      <c r="H171" s="85" t="s">
        <v>330</v>
      </c>
      <c r="I171" s="85" t="s">
        <v>331</v>
      </c>
      <c r="J171" s="85" t="s">
        <v>333</v>
      </c>
      <c r="P171" s="85" t="s">
        <v>327</v>
      </c>
      <c r="Q171" s="85" t="s">
        <v>328</v>
      </c>
      <c r="R171" s="85" t="s">
        <v>329</v>
      </c>
      <c r="S171" s="85" t="s">
        <v>330</v>
      </c>
      <c r="T171" s="85" t="s">
        <v>331</v>
      </c>
      <c r="U171" s="85" t="s">
        <v>333</v>
      </c>
      <c r="X171" s="85" t="s">
        <v>327</v>
      </c>
      <c r="Y171" s="85" t="s">
        <v>328</v>
      </c>
      <c r="Z171" s="85" t="s">
        <v>329</v>
      </c>
      <c r="AA171" s="85" t="s">
        <v>330</v>
      </c>
      <c r="AB171" s="85" t="s">
        <v>331</v>
      </c>
      <c r="AC171" s="85" t="s">
        <v>333</v>
      </c>
      <c r="AF171" s="85" t="s">
        <v>327</v>
      </c>
      <c r="AG171" s="85" t="s">
        <v>328</v>
      </c>
      <c r="AH171" s="85" t="s">
        <v>329</v>
      </c>
      <c r="AI171" s="85" t="s">
        <v>330</v>
      </c>
      <c r="AJ171" s="85" t="s">
        <v>331</v>
      </c>
      <c r="AK171" s="85" t="s">
        <v>333</v>
      </c>
      <c r="AN171" s="85" t="s">
        <v>327</v>
      </c>
      <c r="AO171" s="85" t="s">
        <v>328</v>
      </c>
      <c r="AP171" s="85" t="s">
        <v>329</v>
      </c>
      <c r="AQ171" s="85" t="s">
        <v>330</v>
      </c>
      <c r="AR171" s="85" t="s">
        <v>331</v>
      </c>
      <c r="AS171" s="85" t="s">
        <v>333</v>
      </c>
      <c r="AV171" s="85" t="s">
        <v>327</v>
      </c>
      <c r="AW171" s="85" t="s">
        <v>328</v>
      </c>
      <c r="AX171" s="85" t="s">
        <v>329</v>
      </c>
      <c r="AY171" s="85" t="s">
        <v>330</v>
      </c>
      <c r="AZ171" s="85" t="s">
        <v>331</v>
      </c>
      <c r="BA171" s="85" t="s">
        <v>333</v>
      </c>
    </row>
    <row r="172" spans="4:53">
      <c r="D172" s="85" t="s">
        <v>427</v>
      </c>
      <c r="E172" s="85" t="s">
        <v>406</v>
      </c>
      <c r="F172" s="85" t="s">
        <v>408</v>
      </c>
      <c r="G172" s="85" t="s">
        <v>403</v>
      </c>
      <c r="H172" s="85" t="s">
        <v>407</v>
      </c>
      <c r="I172" s="85" t="s">
        <v>409</v>
      </c>
      <c r="J172" s="85" t="s">
        <v>404</v>
      </c>
      <c r="O172" s="85" t="s">
        <v>427</v>
      </c>
      <c r="P172" s="85" t="s">
        <v>406</v>
      </c>
      <c r="Q172" s="85" t="s">
        <v>408</v>
      </c>
      <c r="R172" s="85" t="s">
        <v>403</v>
      </c>
      <c r="S172" s="85" t="s">
        <v>407</v>
      </c>
      <c r="T172" s="85" t="s">
        <v>409</v>
      </c>
      <c r="U172" s="85" t="s">
        <v>404</v>
      </c>
      <c r="W172" s="85" t="s">
        <v>427</v>
      </c>
      <c r="X172" s="85" t="s">
        <v>406</v>
      </c>
      <c r="Y172" s="85" t="s">
        <v>408</v>
      </c>
      <c r="Z172" s="85" t="s">
        <v>403</v>
      </c>
      <c r="AA172" s="85" t="s">
        <v>407</v>
      </c>
      <c r="AB172" s="85" t="s">
        <v>409</v>
      </c>
      <c r="AC172" s="85" t="s">
        <v>404</v>
      </c>
      <c r="AE172" s="85" t="s">
        <v>427</v>
      </c>
      <c r="AF172" s="85" t="s">
        <v>406</v>
      </c>
      <c r="AG172" s="85" t="s">
        <v>408</v>
      </c>
      <c r="AH172" s="85" t="s">
        <v>403</v>
      </c>
      <c r="AI172" s="85" t="s">
        <v>407</v>
      </c>
      <c r="AJ172" s="85" t="s">
        <v>409</v>
      </c>
      <c r="AK172" s="85" t="s">
        <v>404</v>
      </c>
      <c r="AM172" s="85" t="s">
        <v>427</v>
      </c>
      <c r="AN172" s="85" t="s">
        <v>406</v>
      </c>
      <c r="AO172" s="85" t="s">
        <v>408</v>
      </c>
      <c r="AP172" s="85" t="s">
        <v>403</v>
      </c>
      <c r="AQ172" s="85" t="s">
        <v>407</v>
      </c>
      <c r="AR172" s="85" t="s">
        <v>409</v>
      </c>
      <c r="AS172" s="85" t="s">
        <v>404</v>
      </c>
      <c r="AU172" s="85" t="s">
        <v>427</v>
      </c>
      <c r="AV172" s="85" t="s">
        <v>406</v>
      </c>
      <c r="AW172" s="85" t="s">
        <v>408</v>
      </c>
      <c r="AX172" s="85" t="s">
        <v>403</v>
      </c>
      <c r="AY172" s="85" t="s">
        <v>407</v>
      </c>
      <c r="AZ172" s="85" t="s">
        <v>409</v>
      </c>
      <c r="BA172" s="85" t="s">
        <v>404</v>
      </c>
    </row>
    <row r="173" spans="4:53">
      <c r="D173" s="85" t="e">
        <v>#N/A</v>
      </c>
      <c r="O173" s="283">
        <v>43412</v>
      </c>
      <c r="P173" s="85">
        <v>109.208</v>
      </c>
      <c r="Q173" s="85">
        <v>110.71899999999999</v>
      </c>
      <c r="R173" s="85">
        <v>109.964</v>
      </c>
      <c r="S173" s="85">
        <v>3.298</v>
      </c>
      <c r="T173" s="85">
        <v>3.22</v>
      </c>
      <c r="U173" s="85">
        <v>3.2589999999999999</v>
      </c>
      <c r="W173" s="283">
        <v>43433</v>
      </c>
      <c r="X173" s="85">
        <v>112.211</v>
      </c>
      <c r="Y173" s="85">
        <v>113.711</v>
      </c>
      <c r="Z173" s="85">
        <v>112.961</v>
      </c>
      <c r="AA173" s="85">
        <v>3.1429999999999998</v>
      </c>
      <c r="AB173" s="85">
        <v>3.0680000000000001</v>
      </c>
      <c r="AC173" s="85">
        <v>3.105</v>
      </c>
      <c r="AE173" s="85" t="s">
        <v>301</v>
      </c>
      <c r="AM173" s="85">
        <v>0</v>
      </c>
      <c r="AU173" s="85" t="e">
        <v>#N/A</v>
      </c>
    </row>
    <row r="174" spans="4:53">
      <c r="O174" s="283">
        <v>43411</v>
      </c>
      <c r="P174" s="85">
        <v>108.872</v>
      </c>
      <c r="Q174" s="85">
        <v>110.63800000000001</v>
      </c>
      <c r="R174" s="85">
        <v>109.755</v>
      </c>
      <c r="S174" s="85">
        <v>3.3159999999999998</v>
      </c>
      <c r="T174" s="85">
        <v>3.2240000000000002</v>
      </c>
      <c r="U174" s="85">
        <v>3.27</v>
      </c>
      <c r="W174" s="283">
        <v>43432</v>
      </c>
      <c r="X174" s="85">
        <v>112.28700000000001</v>
      </c>
      <c r="Y174" s="85">
        <v>113.78400000000001</v>
      </c>
      <c r="Z174" s="85">
        <v>113.036</v>
      </c>
      <c r="AA174" s="85">
        <v>3.1390000000000002</v>
      </c>
      <c r="AB174" s="85">
        <v>3.0640000000000001</v>
      </c>
      <c r="AC174" s="85">
        <v>3.1019999999999999</v>
      </c>
    </row>
    <row r="175" spans="4:53">
      <c r="O175" s="283">
        <v>43410</v>
      </c>
      <c r="P175" s="85">
        <v>109.283</v>
      </c>
      <c r="Q175" s="85">
        <v>110.843</v>
      </c>
      <c r="R175" s="85">
        <v>110.063</v>
      </c>
      <c r="S175" s="85">
        <v>3.294</v>
      </c>
      <c r="T175" s="85">
        <v>3.214</v>
      </c>
      <c r="U175" s="85">
        <v>3.254</v>
      </c>
      <c r="W175" s="283">
        <v>43431</v>
      </c>
      <c r="X175" s="85">
        <v>112.30200000000001</v>
      </c>
      <c r="Y175" s="85">
        <v>113.785</v>
      </c>
      <c r="Z175" s="85">
        <v>113.044</v>
      </c>
      <c r="AA175" s="85">
        <v>3.1390000000000002</v>
      </c>
      <c r="AB175" s="85">
        <v>3.0649999999999999</v>
      </c>
      <c r="AC175" s="85">
        <v>3.101</v>
      </c>
    </row>
    <row r="176" spans="4:53">
      <c r="D176" s="85" t="s">
        <v>383</v>
      </c>
      <c r="O176" s="85" t="s">
        <v>383</v>
      </c>
      <c r="W176" s="85" t="s">
        <v>383</v>
      </c>
      <c r="AE176" s="85" t="s">
        <v>383</v>
      </c>
      <c r="AM176" s="85" t="s">
        <v>383</v>
      </c>
      <c r="AU176" s="85" t="s">
        <v>383</v>
      </c>
    </row>
    <row r="177" spans="4:53">
      <c r="D177" s="85" t="s">
        <v>492</v>
      </c>
      <c r="O177" s="85" t="s">
        <v>492</v>
      </c>
      <c r="W177" s="85" t="s">
        <v>492</v>
      </c>
      <c r="AE177" s="85" t="s">
        <v>492</v>
      </c>
      <c r="AM177" s="85" t="s">
        <v>492</v>
      </c>
      <c r="AU177" s="85" t="s">
        <v>492</v>
      </c>
    </row>
    <row r="178" spans="4:53">
      <c r="E178" s="85" t="s">
        <v>327</v>
      </c>
      <c r="F178" s="85" t="s">
        <v>328</v>
      </c>
      <c r="G178" s="85" t="s">
        <v>329</v>
      </c>
      <c r="H178" s="85" t="s">
        <v>330</v>
      </c>
      <c r="I178" s="85" t="s">
        <v>331</v>
      </c>
      <c r="J178" s="85" t="s">
        <v>333</v>
      </c>
      <c r="P178" s="85" t="s">
        <v>327</v>
      </c>
      <c r="Q178" s="85" t="s">
        <v>328</v>
      </c>
      <c r="R178" s="85" t="s">
        <v>329</v>
      </c>
      <c r="S178" s="85" t="s">
        <v>330</v>
      </c>
      <c r="T178" s="85" t="s">
        <v>331</v>
      </c>
      <c r="U178" s="85" t="s">
        <v>333</v>
      </c>
      <c r="X178" s="85" t="s">
        <v>327</v>
      </c>
      <c r="Y178" s="85" t="s">
        <v>328</v>
      </c>
      <c r="Z178" s="85" t="s">
        <v>329</v>
      </c>
      <c r="AA178" s="85" t="s">
        <v>330</v>
      </c>
      <c r="AB178" s="85" t="s">
        <v>331</v>
      </c>
      <c r="AC178" s="85" t="s">
        <v>333</v>
      </c>
      <c r="AF178" s="85" t="s">
        <v>327</v>
      </c>
      <c r="AG178" s="85" t="s">
        <v>328</v>
      </c>
      <c r="AH178" s="85" t="s">
        <v>329</v>
      </c>
      <c r="AI178" s="85" t="s">
        <v>330</v>
      </c>
      <c r="AJ178" s="85" t="s">
        <v>331</v>
      </c>
      <c r="AK178" s="85" t="s">
        <v>333</v>
      </c>
      <c r="AN178" s="85" t="s">
        <v>327</v>
      </c>
      <c r="AO178" s="85" t="s">
        <v>328</v>
      </c>
      <c r="AP178" s="85" t="s">
        <v>329</v>
      </c>
      <c r="AQ178" s="85" t="s">
        <v>330</v>
      </c>
      <c r="AR178" s="85" t="s">
        <v>331</v>
      </c>
      <c r="AS178" s="85" t="s">
        <v>333</v>
      </c>
      <c r="AV178" s="85" t="s">
        <v>327</v>
      </c>
      <c r="AW178" s="85" t="s">
        <v>328</v>
      </c>
      <c r="AX178" s="85" t="s">
        <v>329</v>
      </c>
      <c r="AY178" s="85" t="s">
        <v>330</v>
      </c>
      <c r="AZ178" s="85" t="s">
        <v>331</v>
      </c>
      <c r="BA178" s="85" t="s">
        <v>333</v>
      </c>
    </row>
    <row r="179" spans="4:53">
      <c r="D179" s="85" t="s">
        <v>427</v>
      </c>
      <c r="E179" s="85" t="s">
        <v>406</v>
      </c>
      <c r="F179" s="85" t="s">
        <v>408</v>
      </c>
      <c r="G179" s="85" t="s">
        <v>403</v>
      </c>
      <c r="H179" s="85" t="s">
        <v>407</v>
      </c>
      <c r="I179" s="85" t="s">
        <v>409</v>
      </c>
      <c r="J179" s="85" t="s">
        <v>404</v>
      </c>
      <c r="O179" s="85" t="s">
        <v>427</v>
      </c>
      <c r="P179" s="85" t="s">
        <v>406</v>
      </c>
      <c r="Q179" s="85" t="s">
        <v>408</v>
      </c>
      <c r="R179" s="85" t="s">
        <v>403</v>
      </c>
      <c r="S179" s="85" t="s">
        <v>407</v>
      </c>
      <c r="T179" s="85" t="s">
        <v>409</v>
      </c>
      <c r="U179" s="85" t="s">
        <v>404</v>
      </c>
      <c r="W179" s="85" t="s">
        <v>427</v>
      </c>
      <c r="X179" s="85" t="s">
        <v>406</v>
      </c>
      <c r="Y179" s="85" t="s">
        <v>408</v>
      </c>
      <c r="Z179" s="85" t="s">
        <v>403</v>
      </c>
      <c r="AA179" s="85" t="s">
        <v>407</v>
      </c>
      <c r="AB179" s="85" t="s">
        <v>409</v>
      </c>
      <c r="AC179" s="85" t="s">
        <v>404</v>
      </c>
      <c r="AE179" s="85" t="s">
        <v>427</v>
      </c>
      <c r="AF179" s="85" t="s">
        <v>406</v>
      </c>
      <c r="AG179" s="85" t="s">
        <v>408</v>
      </c>
      <c r="AH179" s="85" t="s">
        <v>403</v>
      </c>
      <c r="AI179" s="85" t="s">
        <v>407</v>
      </c>
      <c r="AJ179" s="85" t="s">
        <v>409</v>
      </c>
      <c r="AK179" s="85" t="s">
        <v>404</v>
      </c>
      <c r="AM179" s="85" t="s">
        <v>427</v>
      </c>
      <c r="AN179" s="85" t="s">
        <v>406</v>
      </c>
      <c r="AO179" s="85" t="s">
        <v>408</v>
      </c>
      <c r="AP179" s="85" t="s">
        <v>403</v>
      </c>
      <c r="AQ179" s="85" t="s">
        <v>407</v>
      </c>
      <c r="AR179" s="85" t="s">
        <v>409</v>
      </c>
      <c r="AS179" s="85" t="s">
        <v>404</v>
      </c>
      <c r="AU179" s="85" t="s">
        <v>427</v>
      </c>
      <c r="AV179" s="85" t="s">
        <v>406</v>
      </c>
      <c r="AW179" s="85" t="s">
        <v>408</v>
      </c>
      <c r="AX179" s="85" t="s">
        <v>403</v>
      </c>
      <c r="AY179" s="85" t="s">
        <v>407</v>
      </c>
      <c r="AZ179" s="85" t="s">
        <v>409</v>
      </c>
      <c r="BA179" s="85" t="s">
        <v>404</v>
      </c>
    </row>
    <row r="180" spans="4:53">
      <c r="D180" s="85" t="e">
        <v>#N/A</v>
      </c>
      <c r="O180" s="283">
        <v>43412</v>
      </c>
      <c r="P180" s="85">
        <v>99.617000000000004</v>
      </c>
      <c r="Q180" s="85">
        <v>101.26900000000001</v>
      </c>
      <c r="R180" s="85">
        <v>100.443</v>
      </c>
      <c r="S180" s="85">
        <v>3.2640000000000002</v>
      </c>
      <c r="T180" s="85">
        <v>3.1850000000000001</v>
      </c>
      <c r="U180" s="85">
        <v>3.2240000000000002</v>
      </c>
      <c r="W180" s="283">
        <v>43433</v>
      </c>
      <c r="X180" s="85">
        <v>102.959</v>
      </c>
      <c r="Y180" s="85">
        <v>104.589</v>
      </c>
      <c r="Z180" s="85">
        <v>103.774</v>
      </c>
      <c r="AA180" s="85">
        <v>3.1059999999999999</v>
      </c>
      <c r="AB180" s="85">
        <v>3.0310000000000001</v>
      </c>
      <c r="AC180" s="85">
        <v>3.0680000000000001</v>
      </c>
      <c r="AE180" s="85" t="s">
        <v>301</v>
      </c>
      <c r="AM180" s="85">
        <v>0</v>
      </c>
      <c r="AU180" s="85" t="e">
        <v>#N/A</v>
      </c>
    </row>
    <row r="181" spans="4:53">
      <c r="O181" s="283">
        <v>43411</v>
      </c>
      <c r="P181" s="85">
        <v>99.727999999999994</v>
      </c>
      <c r="Q181" s="85">
        <v>101.36499999999999</v>
      </c>
      <c r="R181" s="85">
        <v>100.547</v>
      </c>
      <c r="S181" s="85">
        <v>3.258</v>
      </c>
      <c r="T181" s="85">
        <v>3.18</v>
      </c>
      <c r="U181" s="85">
        <v>3.2189999999999999</v>
      </c>
      <c r="W181" s="283">
        <v>43432</v>
      </c>
      <c r="X181" s="85">
        <v>103.08</v>
      </c>
      <c r="Y181" s="85">
        <v>104.71</v>
      </c>
      <c r="Z181" s="85">
        <v>103.895</v>
      </c>
      <c r="AA181" s="85">
        <v>3.1</v>
      </c>
      <c r="AB181" s="85">
        <v>3.0259999999999998</v>
      </c>
      <c r="AC181" s="85">
        <v>3.0630000000000002</v>
      </c>
    </row>
    <row r="182" spans="4:53">
      <c r="O182" s="283">
        <v>43410</v>
      </c>
      <c r="P182" s="85">
        <v>99.716999999999999</v>
      </c>
      <c r="Q182" s="85">
        <v>101.354</v>
      </c>
      <c r="R182" s="85">
        <v>100.535</v>
      </c>
      <c r="S182" s="85">
        <v>3.2589999999999999</v>
      </c>
      <c r="T182" s="85">
        <v>3.181</v>
      </c>
      <c r="U182" s="85">
        <v>3.22</v>
      </c>
      <c r="W182" s="283">
        <v>43431</v>
      </c>
      <c r="X182" s="85">
        <v>103.102</v>
      </c>
      <c r="Y182" s="85">
        <v>104.732</v>
      </c>
      <c r="Z182" s="85">
        <v>103.917</v>
      </c>
      <c r="AA182" s="85">
        <v>3.0990000000000002</v>
      </c>
      <c r="AB182" s="85">
        <v>3.0249999999999999</v>
      </c>
      <c r="AC182" s="85">
        <v>3.0619999999999998</v>
      </c>
    </row>
    <row r="184" spans="4:53">
      <c r="O184" s="85" t="e">
        <v>#N/A</v>
      </c>
    </row>
    <row r="185" spans="4:53">
      <c r="P185" s="85" t="s">
        <v>327</v>
      </c>
      <c r="Q185" s="85" t="s">
        <v>328</v>
      </c>
      <c r="R185" s="85" t="s">
        <v>329</v>
      </c>
      <c r="S185" s="85" t="s">
        <v>330</v>
      </c>
      <c r="T185" s="85" t="s">
        <v>331</v>
      </c>
      <c r="U185" s="85" t="s">
        <v>333</v>
      </c>
    </row>
    <row r="186" spans="4:53">
      <c r="O186" s="85" t="s">
        <v>427</v>
      </c>
      <c r="P186" s="85" t="s">
        <v>406</v>
      </c>
      <c r="Q186" s="85" t="s">
        <v>408</v>
      </c>
      <c r="R186" s="85" t="s">
        <v>403</v>
      </c>
      <c r="S186" s="85" t="s">
        <v>407</v>
      </c>
      <c r="T186" s="85" t="s">
        <v>409</v>
      </c>
      <c r="U186" s="85" t="s">
        <v>404</v>
      </c>
    </row>
    <row r="187" spans="4:53">
      <c r="O187" s="85" t="e">
        <v>#N/A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bonds_hist">
                <anchor moveWithCells="1" sizeWithCells="1">
                  <from>
                    <xdr:col>0</xdr:col>
                    <xdr:colOff>266700</xdr:colOff>
                    <xdr:row>6</xdr:row>
                    <xdr:rowOff>152400</xdr:rowOff>
                  </from>
                  <to>
                    <xdr:col>1</xdr:col>
                    <xdr:colOff>636814</xdr:colOff>
                    <xdr:row>8</xdr:row>
                    <xdr:rowOff>10886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7">
    <tabColor theme="1"/>
  </sheetPr>
  <dimension ref="A1:N16"/>
  <sheetViews>
    <sheetView showGridLines="0" topLeftCell="C1" workbookViewId="0">
      <selection activeCell="H15" sqref="H15"/>
    </sheetView>
  </sheetViews>
  <sheetFormatPr defaultColWidth="10.84375" defaultRowHeight="14.6"/>
  <cols>
    <col min="1" max="1" width="23.84375" style="75" bestFit="1" customWidth="1"/>
    <col min="2" max="3" width="11.4609375" customWidth="1"/>
    <col min="4" max="4" width="13.61328125" bestFit="1" customWidth="1"/>
    <col min="5" max="5" width="13.15234375" bestFit="1" customWidth="1"/>
    <col min="6" max="6" width="11.84375" bestFit="1" customWidth="1"/>
    <col min="7" max="7" width="13.4609375" style="231" bestFit="1" customWidth="1"/>
    <col min="8" max="8" width="18" bestFit="1" customWidth="1"/>
    <col min="9" max="9" width="12.3828125" bestFit="1" customWidth="1"/>
    <col min="10" max="10" width="19.3828125" bestFit="1" customWidth="1"/>
    <col min="11" max="11" width="6.4609375" bestFit="1" customWidth="1"/>
    <col min="12" max="13" width="8.3828125" bestFit="1" customWidth="1"/>
  </cols>
  <sheetData>
    <row r="1" spans="1:14" s="100" customFormat="1" ht="58.3">
      <c r="A1" s="113" t="s">
        <v>459</v>
      </c>
      <c r="B1" s="302">
        <f>intercambio!$B$14</f>
        <v>43792</v>
      </c>
      <c r="C1" s="114" t="s">
        <v>657</v>
      </c>
      <c r="D1" s="114" t="s">
        <v>455</v>
      </c>
      <c r="E1" s="114" t="s">
        <v>456</v>
      </c>
      <c r="F1" s="115" t="s">
        <v>457</v>
      </c>
      <c r="G1" s="115" t="s">
        <v>615</v>
      </c>
      <c r="H1" s="104"/>
      <c r="I1" s="104"/>
      <c r="J1" s="104"/>
      <c r="K1" s="104"/>
      <c r="L1" s="104"/>
      <c r="M1" s="104"/>
      <c r="N1" s="104"/>
    </row>
    <row r="2" spans="1:14">
      <c r="A2" t="s">
        <v>460</v>
      </c>
      <c r="C2" s="116">
        <v>1</v>
      </c>
      <c r="D2" s="117">
        <v>0.04</v>
      </c>
      <c r="E2" s="117">
        <f t="shared" ref="E2:E11" si="0">$D2*365/360</f>
        <v>4.0555555555555553E-2</v>
      </c>
      <c r="F2" s="118">
        <f ca="1">$E2-OFFSET(curvas!$A$1,MATCH(icap!$C2,curvas!$B$1:$B$20,0)-1,7)</f>
        <v>1.6901527777777772E-2</v>
      </c>
      <c r="G2" s="236">
        <f>$E2-curvas_EUR!$J10</f>
        <v>4.3884583333333331E-2</v>
      </c>
      <c r="H2" s="105"/>
      <c r="I2" s="105"/>
      <c r="J2" s="105"/>
      <c r="K2" s="105"/>
      <c r="L2" s="234"/>
      <c r="M2" s="235"/>
      <c r="N2" s="110"/>
    </row>
    <row r="3" spans="1:14">
      <c r="A3" s="279"/>
      <c r="B3" s="280"/>
      <c r="C3" s="116">
        <v>2</v>
      </c>
      <c r="D3" s="117">
        <v>0.04</v>
      </c>
      <c r="E3" s="117">
        <f t="shared" si="0"/>
        <v>4.0555555555555553E-2</v>
      </c>
      <c r="F3" s="118">
        <f ca="1">$E3-OFFSET(curvas!$A$1,MATCH(icap!$C3,curvas!$B$1:$B$20,0)-1,7)</f>
        <v>2.1284555555555553E-2</v>
      </c>
      <c r="G3" s="236">
        <f>$E3-curvas_EUR!$J11</f>
        <v>4.5323277777777775E-2</v>
      </c>
      <c r="H3" s="105"/>
      <c r="I3" s="105"/>
      <c r="J3" s="105"/>
      <c r="K3" s="110"/>
      <c r="L3" s="234"/>
      <c r="M3" s="235"/>
      <c r="N3" s="110"/>
    </row>
    <row r="4" spans="1:14">
      <c r="A4" s="280"/>
      <c r="B4" s="280"/>
      <c r="C4" s="116">
        <v>3</v>
      </c>
      <c r="D4" s="117">
        <v>4.0999999999999995E-2</v>
      </c>
      <c r="E4" s="117">
        <f t="shared" si="0"/>
        <v>4.1569444444444437E-2</v>
      </c>
      <c r="F4" s="118">
        <f ca="1">$E4-OFFSET(curvas!$A$1,MATCH(icap!$C4,curvas!$B$1:$B$20,0)-1,7)</f>
        <v>2.2980444444444435E-2</v>
      </c>
      <c r="G4" s="236">
        <f>$E4-curvas_EUR!$J12</f>
        <v>4.6169152777777771E-2</v>
      </c>
      <c r="H4" s="107" t="s">
        <v>458</v>
      </c>
      <c r="I4" s="90"/>
      <c r="J4" s="108" t="s">
        <v>656</v>
      </c>
      <c r="K4" s="110"/>
      <c r="L4" s="234"/>
      <c r="M4" s="235"/>
      <c r="N4" s="110"/>
    </row>
    <row r="5" spans="1:14">
      <c r="A5" s="280"/>
      <c r="B5" s="280"/>
      <c r="C5" s="116">
        <v>4</v>
      </c>
      <c r="D5" s="117">
        <v>4.2100000000000005E-2</v>
      </c>
      <c r="E5" s="117">
        <f t="shared" si="0"/>
        <v>4.2684722222222228E-2</v>
      </c>
      <c r="F5" s="119">
        <f ca="1">$E5-OFFSET(curvas!$A$1,MATCH(icap!$C5,curvas!$B$1:$B$20,0)-1,7)</f>
        <v>2.4134722222222228E-2</v>
      </c>
      <c r="G5" s="236">
        <f>$E5-curvas_EUR!$J13</f>
        <v>4.6843680555555559E-2</v>
      </c>
      <c r="H5" s="106"/>
      <c r="I5" s="105"/>
      <c r="J5" s="105"/>
      <c r="K5" s="110"/>
      <c r="L5" s="234"/>
      <c r="M5" s="235"/>
      <c r="N5" s="110"/>
    </row>
    <row r="6" spans="1:14">
      <c r="A6" s="280"/>
      <c r="B6" s="280"/>
      <c r="C6" s="116">
        <v>5</v>
      </c>
      <c r="D6" s="117">
        <v>4.3299999999999998E-2</v>
      </c>
      <c r="E6" s="117">
        <f t="shared" si="0"/>
        <v>4.3901388888888886E-2</v>
      </c>
      <c r="F6" s="118">
        <f ca="1">$E6-OFFSET(curvas!$A$1,MATCH(icap!$C6,curvas!$B$1:$B$20,0)-1,7)</f>
        <v>2.5125388888888885E-2</v>
      </c>
      <c r="G6" s="236">
        <f>$E6-curvas_EUR!$J14</f>
        <v>4.7417847222222219E-2</v>
      </c>
      <c r="H6" s="123"/>
      <c r="I6" s="123"/>
      <c r="J6" s="124"/>
      <c r="K6" s="124"/>
      <c r="L6" s="234"/>
      <c r="M6" s="235"/>
      <c r="N6" s="110"/>
    </row>
    <row r="7" spans="1:14">
      <c r="A7" s="280"/>
      <c r="B7" s="280"/>
      <c r="C7" s="116">
        <v>7</v>
      </c>
      <c r="D7" s="117">
        <v>4.540000000000001E-2</v>
      </c>
      <c r="E7" s="117">
        <f t="shared" si="0"/>
        <v>4.6030555555555568E-2</v>
      </c>
      <c r="F7" s="118">
        <f ca="1">$E7-OFFSET(curvas!$A$1,MATCH(icap!$C7,curvas!$B$1:$B$20,0)-1,7)</f>
        <v>2.646655555555557E-2</v>
      </c>
      <c r="G7" s="236">
        <f>$E7-curvas_EUR!$J15</f>
        <v>4.7961250000000011E-2</v>
      </c>
      <c r="H7" s="123"/>
      <c r="I7" s="123"/>
      <c r="J7" s="124"/>
      <c r="K7" s="124"/>
      <c r="L7" s="234"/>
      <c r="M7" s="235"/>
      <c r="N7" s="110"/>
    </row>
    <row r="8" spans="1:14">
      <c r="A8" s="280"/>
      <c r="B8" s="280"/>
      <c r="C8" s="116">
        <v>10</v>
      </c>
      <c r="D8" s="117">
        <v>4.7799999999999995E-2</v>
      </c>
      <c r="E8" s="117">
        <f t="shared" si="0"/>
        <v>4.846388888888889E-2</v>
      </c>
      <c r="F8" s="118">
        <f ca="1">$E8-OFFSET(curvas!$A$1,MATCH(icap!$C8,curvas!$B$1:$B$20,0)-1,7)</f>
        <v>2.7658888888888893E-2</v>
      </c>
      <c r="G8" s="236">
        <f>$E8-curvas_EUR!$J16</f>
        <v>4.7712513888888891E-2</v>
      </c>
      <c r="H8" s="123"/>
      <c r="I8" s="123"/>
      <c r="J8" s="124"/>
      <c r="K8" s="124"/>
      <c r="L8" s="234"/>
      <c r="M8" s="235"/>
      <c r="N8" s="110"/>
    </row>
    <row r="9" spans="1:14">
      <c r="A9" s="280"/>
      <c r="B9" s="280"/>
      <c r="C9" s="116">
        <v>15</v>
      </c>
      <c r="D9" s="117">
        <v>4.9299999999999997E-2</v>
      </c>
      <c r="E9" s="117">
        <f t="shared" si="0"/>
        <v>4.9984722222222215E-2</v>
      </c>
      <c r="F9" s="118">
        <f ca="1">$E9-OFFSET(curvas!$A$1,MATCH(icap!$C9,curvas!$B$1:$B$20,0)-1,7)</f>
        <v>2.7774722222222215E-2</v>
      </c>
      <c r="G9" s="236">
        <f>$E9-curvas_EUR!$J17</f>
        <v>4.5611527777777772E-2</v>
      </c>
      <c r="H9" s="105"/>
      <c r="I9" s="105"/>
      <c r="J9" s="105"/>
      <c r="K9" s="105"/>
      <c r="L9" s="234"/>
      <c r="M9" s="235"/>
      <c r="N9" s="110"/>
    </row>
    <row r="10" spans="1:14">
      <c r="A10" s="280"/>
      <c r="B10" s="280"/>
      <c r="C10" s="116">
        <v>20</v>
      </c>
      <c r="D10" s="117">
        <v>4.9499999999999995E-2</v>
      </c>
      <c r="E10" s="117">
        <f t="shared" si="0"/>
        <v>5.0187499999999996E-2</v>
      </c>
      <c r="F10" s="118">
        <f ca="1">$E10-OFFSET(curvas!$A$1,MATCH(icap!$C10,curvas!$B$1:$B$20,0)-1,7)</f>
        <v>2.7323499999999997E-2</v>
      </c>
      <c r="G10" s="236">
        <f>$E10-curvas_EUR!$J18</f>
        <v>4.3480902777777775E-2</v>
      </c>
      <c r="H10" s="105"/>
      <c r="I10" s="105"/>
      <c r="J10" s="105"/>
      <c r="K10" s="105"/>
      <c r="L10" s="234"/>
      <c r="M10" s="235"/>
      <c r="N10" s="110"/>
    </row>
    <row r="11" spans="1:14">
      <c r="A11" s="280"/>
      <c r="B11" s="280"/>
      <c r="C11" s="116">
        <v>30</v>
      </c>
      <c r="D11" s="117">
        <v>4.9499999999999995E-2</v>
      </c>
      <c r="E11" s="117">
        <f t="shared" si="0"/>
        <v>5.0187499999999996E-2</v>
      </c>
      <c r="F11" s="118">
        <f ca="1">$E11-OFFSET(curvas!$A$1,MATCH(icap!$C11,curvas!$B$1:$B$20,0)-1,7)</f>
        <v>2.6990499999999994E-2</v>
      </c>
      <c r="G11" s="236">
        <f>$E11-curvas_EUR!$J19</f>
        <v>4.1702874999999993E-2</v>
      </c>
      <c r="H11" s="105"/>
      <c r="I11" s="105"/>
      <c r="J11" s="105"/>
      <c r="K11" s="105"/>
      <c r="L11" s="234"/>
      <c r="M11" s="235"/>
      <c r="N11" s="110"/>
    </row>
    <row r="12" spans="1:14">
      <c r="A12" s="1"/>
      <c r="B12" s="1"/>
      <c r="C12" s="1"/>
      <c r="D12" s="1"/>
      <c r="E12" s="1"/>
      <c r="F12" s="30"/>
      <c r="G12" s="138"/>
      <c r="H12" s="105"/>
      <c r="I12" s="105"/>
      <c r="J12" s="105"/>
      <c r="K12" s="105"/>
      <c r="L12" s="105"/>
      <c r="M12" s="105"/>
      <c r="N12" s="105"/>
    </row>
    <row r="13" spans="1:14">
      <c r="A13" s="1"/>
      <c r="B13" s="1"/>
      <c r="C13" s="1"/>
      <c r="D13" s="1"/>
      <c r="E13" s="1"/>
      <c r="F13" s="1"/>
      <c r="G13" s="138"/>
      <c r="H13" s="105"/>
      <c r="I13" s="105"/>
      <c r="J13" s="105"/>
      <c r="K13" s="105"/>
      <c r="L13" s="105"/>
      <c r="M13" s="105"/>
    </row>
    <row r="14" spans="1:14">
      <c r="G14" s="232"/>
      <c r="H14" s="105"/>
      <c r="I14" s="105"/>
      <c r="J14" s="105"/>
      <c r="K14" s="105"/>
      <c r="L14" s="105"/>
      <c r="M14" s="105"/>
    </row>
    <row r="15" spans="1:14">
      <c r="G15" s="232"/>
      <c r="H15" s="105"/>
      <c r="I15" s="105"/>
      <c r="J15" s="105"/>
      <c r="K15" s="105"/>
      <c r="L15" s="105"/>
      <c r="M15" s="105"/>
    </row>
    <row r="16" spans="1:14">
      <c r="G16" s="232"/>
      <c r="H16" s="105"/>
      <c r="I16" s="105"/>
      <c r="J16" s="105"/>
      <c r="K16" s="105"/>
      <c r="L16" s="105"/>
      <c r="M16" s="10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get_icap_msg">
                <anchor moveWithCells="1" sizeWithCells="1">
                  <from>
                    <xdr:col>7</xdr:col>
                    <xdr:colOff>0</xdr:colOff>
                    <xdr:row>1</xdr:row>
                    <xdr:rowOff>125186</xdr:rowOff>
                  </from>
                  <to>
                    <xdr:col>7</xdr:col>
                    <xdr:colOff>1191986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get_icap_2">
                <anchor moveWithCells="1" sizeWithCells="1">
                  <from>
                    <xdr:col>9</xdr:col>
                    <xdr:colOff>0</xdr:colOff>
                    <xdr:row>1</xdr:row>
                    <xdr:rowOff>125186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8">
    <tabColor theme="1"/>
  </sheetPr>
  <dimension ref="A1:R20"/>
  <sheetViews>
    <sheetView zoomScaleNormal="100" workbookViewId="0">
      <selection activeCell="I7" sqref="I7"/>
    </sheetView>
  </sheetViews>
  <sheetFormatPr defaultColWidth="11.4609375" defaultRowHeight="14.6"/>
  <cols>
    <col min="1" max="1" width="14.4609375" style="101" bestFit="1" customWidth="1"/>
    <col min="2" max="2" width="5.61328125" style="5" bestFit="1" customWidth="1"/>
    <col min="3" max="3" width="6" style="5" bestFit="1" customWidth="1"/>
    <col min="4" max="4" width="6.61328125" style="5" bestFit="1" customWidth="1"/>
    <col min="5" max="5" width="10.61328125" style="5" bestFit="1" customWidth="1"/>
    <col min="6" max="6" width="9.4609375" style="5" bestFit="1" customWidth="1"/>
    <col min="7" max="7" width="11.61328125" style="5" bestFit="1" customWidth="1"/>
    <col min="8" max="8" width="17.15234375" style="230" bestFit="1" customWidth="1"/>
    <col min="9" max="9" width="11.84375" style="1" bestFit="1" customWidth="1"/>
    <col min="10" max="10" width="3" style="1" bestFit="1" customWidth="1"/>
    <col min="11" max="11" width="11.84375" style="1" bestFit="1" customWidth="1"/>
    <col min="12" max="13" width="11.4609375" style="1"/>
    <col min="14" max="16" width="10.61328125" style="1" bestFit="1" customWidth="1"/>
    <col min="17" max="16384" width="11.4609375" style="1"/>
  </cols>
  <sheetData>
    <row r="1" spans="1:18" ht="29.15">
      <c r="A1" s="120">
        <f>intercambio!$B$15</f>
        <v>43792</v>
      </c>
      <c r="B1" s="114" t="s">
        <v>425</v>
      </c>
      <c r="C1" s="114" t="s">
        <v>436</v>
      </c>
      <c r="D1" s="114" t="s">
        <v>426</v>
      </c>
      <c r="E1" s="114" t="s">
        <v>427</v>
      </c>
      <c r="F1" s="114" t="s">
        <v>428</v>
      </c>
      <c r="G1" s="114" t="s">
        <v>429</v>
      </c>
      <c r="H1" s="114" t="s">
        <v>461</v>
      </c>
      <c r="N1" s="139">
        <v>43412</v>
      </c>
      <c r="O1" s="139">
        <v>43433</v>
      </c>
      <c r="P1" s="139">
        <v>43620</v>
      </c>
      <c r="Q1" s="139">
        <v>43626</v>
      </c>
      <c r="R1" s="139">
        <v>43629</v>
      </c>
    </row>
    <row r="2" spans="1:18">
      <c r="A2" s="140" t="s">
        <v>437</v>
      </c>
      <c r="B2" s="5" t="s">
        <v>430</v>
      </c>
      <c r="C2" s="5">
        <v>1</v>
      </c>
      <c r="D2" s="7">
        <f t="shared" ref="D2:D20" si="0">C2/30</f>
        <v>3.3333333333333333E-2</v>
      </c>
      <c r="E2" s="8">
        <f>$A$1+$C2</f>
        <v>43793</v>
      </c>
      <c r="F2" s="117">
        <v>2.3503799999999998E-2</v>
      </c>
      <c r="G2" s="5" t="s">
        <v>453</v>
      </c>
      <c r="H2" s="117">
        <f>IF($G2="Act/360",$F2*365/360,si($G2="30/360 Semi",$F2))</f>
        <v>2.3830241666666665E-2</v>
      </c>
      <c r="K2" s="141"/>
      <c r="N2" s="142">
        <v>2.1798799999999997E-2</v>
      </c>
      <c r="O2" s="142">
        <v>2.18275E-2</v>
      </c>
      <c r="P2" s="142">
        <v>2.3599999999999999E-2</v>
      </c>
      <c r="Q2" s="117">
        <v>2.3449999999999999E-2</v>
      </c>
      <c r="R2" s="117">
        <v>2.3503799999999998E-2</v>
      </c>
    </row>
    <row r="3" spans="1:18">
      <c r="A3" s="140" t="s">
        <v>438</v>
      </c>
      <c r="B3" s="5" t="s">
        <v>431</v>
      </c>
      <c r="C3" s="5">
        <v>7</v>
      </c>
      <c r="D3" s="7">
        <f t="shared" si="0"/>
        <v>0.23333333333333334</v>
      </c>
      <c r="E3" s="8">
        <f>$A$1+$C3</f>
        <v>43799</v>
      </c>
      <c r="F3" s="117">
        <v>2.3744999999999999E-2</v>
      </c>
      <c r="G3" s="5" t="s">
        <v>453</v>
      </c>
      <c r="H3" s="117">
        <f>IF($G3="Act/360",$F3*365/360,si($G3="30/360 Semi",$F3))</f>
        <v>2.4074791666666664E-2</v>
      </c>
      <c r="J3" s="1">
        <v>3</v>
      </c>
      <c r="K3" s="141">
        <f>$F$6</f>
        <v>2.42788E-2</v>
      </c>
      <c r="N3" s="142">
        <v>2.2161900000000002E-2</v>
      </c>
      <c r="O3" s="142">
        <v>2.2288100000000002E-2</v>
      </c>
      <c r="P3" s="142">
        <v>2.3777499999999997E-2</v>
      </c>
      <c r="Q3" s="117">
        <v>2.3784999999999997E-2</v>
      </c>
      <c r="R3" s="117">
        <v>2.3744999999999999E-2</v>
      </c>
    </row>
    <row r="4" spans="1:18">
      <c r="A4" s="140" t="s">
        <v>439</v>
      </c>
      <c r="B4" s="5" t="s">
        <v>432</v>
      </c>
      <c r="C4" s="5">
        <v>30</v>
      </c>
      <c r="D4" s="116">
        <f t="shared" si="0"/>
        <v>1</v>
      </c>
      <c r="E4" s="8">
        <f t="shared" ref="E4:E20" si="1">EDATE($A$1,$D4)</f>
        <v>43822</v>
      </c>
      <c r="F4" s="117">
        <v>2.4011300000000003E-2</v>
      </c>
      <c r="G4" s="5" t="s">
        <v>453</v>
      </c>
      <c r="H4" s="117">
        <f>IF($G4="Act/360",$F4*365/360,si($G4="30/360 Semi",$F4))</f>
        <v>2.4344790277777782E-2</v>
      </c>
      <c r="J4" s="1">
        <v>6</v>
      </c>
      <c r="K4" s="141">
        <f>$F$9</f>
        <v>2.3416299999999998E-2</v>
      </c>
      <c r="N4" s="142">
        <v>2.3184399999999997E-2</v>
      </c>
      <c r="O4" s="142">
        <v>2.3492499999999999E-2</v>
      </c>
      <c r="P4" s="142">
        <v>2.4208799999999999E-2</v>
      </c>
      <c r="Q4" s="117">
        <v>2.41338E-2</v>
      </c>
      <c r="R4" s="117">
        <v>2.4011300000000003E-2</v>
      </c>
    </row>
    <row r="5" spans="1:18">
      <c r="A5" s="140" t="s">
        <v>440</v>
      </c>
      <c r="B5" s="5" t="s">
        <v>433</v>
      </c>
      <c r="C5" s="5">
        <v>60</v>
      </c>
      <c r="D5" s="116">
        <f t="shared" si="0"/>
        <v>2</v>
      </c>
      <c r="E5" s="8">
        <f t="shared" si="1"/>
        <v>43853</v>
      </c>
      <c r="F5" s="117">
        <v>2.4203799999999998E-2</v>
      </c>
      <c r="G5" s="5" t="s">
        <v>453</v>
      </c>
      <c r="H5" s="117">
        <f>IF($G5="Act/360",$F5*365/360,si($G5="30/360 Semi",$F5))</f>
        <v>2.4539963888888888E-2</v>
      </c>
      <c r="J5" s="1">
        <v>12</v>
      </c>
      <c r="K5" s="141">
        <f>$F$11</f>
        <v>2.3330000000000004E-2</v>
      </c>
      <c r="N5" s="142">
        <v>2.4586299999999998E-2</v>
      </c>
      <c r="O5" s="142">
        <v>2.5112499999999999E-2</v>
      </c>
      <c r="P5" s="142">
        <v>2.4575E-2</v>
      </c>
      <c r="Q5" s="117">
        <v>2.42075E-2</v>
      </c>
      <c r="R5" s="117">
        <v>2.4203799999999998E-2</v>
      </c>
    </row>
    <row r="6" spans="1:18">
      <c r="A6" s="140" t="s">
        <v>441</v>
      </c>
      <c r="B6" s="5" t="s">
        <v>434</v>
      </c>
      <c r="C6" s="5">
        <v>90</v>
      </c>
      <c r="D6" s="116">
        <f t="shared" si="0"/>
        <v>3</v>
      </c>
      <c r="E6" s="8">
        <f t="shared" si="1"/>
        <v>43884</v>
      </c>
      <c r="F6" s="117">
        <v>2.42788E-2</v>
      </c>
      <c r="G6" s="5" t="s">
        <v>453</v>
      </c>
      <c r="H6" s="117">
        <f>IF($G6="Act/360",$F6*365/360,si($G6="30/360 Semi",$F6))</f>
        <v>2.4616005555555556E-2</v>
      </c>
      <c r="N6" s="142">
        <v>2.6146300000000001E-2</v>
      </c>
      <c r="O6" s="142">
        <v>2.7381300000000001E-2</v>
      </c>
      <c r="P6" s="142">
        <v>2.47438E-2</v>
      </c>
      <c r="Q6" s="117">
        <v>2.4357500000000001E-2</v>
      </c>
      <c r="R6" s="117">
        <v>2.42788E-2</v>
      </c>
    </row>
    <row r="7" spans="1:18">
      <c r="C7" s="5">
        <v>120</v>
      </c>
      <c r="D7" s="116">
        <f t="shared" si="0"/>
        <v>4</v>
      </c>
      <c r="E7" s="8">
        <f t="shared" si="1"/>
        <v>43913</v>
      </c>
      <c r="F7" s="117" t="e">
        <f ca="1">_xll.Interp($D$7,$J$3:$J$4,$K$3:$K4)</f>
        <v>#NAME?</v>
      </c>
      <c r="G7" s="5" t="s">
        <v>453</v>
      </c>
      <c r="H7" s="117" t="e">
        <f ca="1">IF($G7="Act/360",$F7*365/360,si($G7="30/360 Semi",$F7))</f>
        <v>#NAME?</v>
      </c>
      <c r="N7" s="142"/>
      <c r="O7" s="142"/>
      <c r="P7" s="142"/>
    </row>
    <row r="8" spans="1:18">
      <c r="C8" s="5">
        <v>150</v>
      </c>
      <c r="D8" s="116">
        <f t="shared" si="0"/>
        <v>5</v>
      </c>
      <c r="E8" s="8">
        <f t="shared" si="1"/>
        <v>43944</v>
      </c>
      <c r="F8" s="117" t="e">
        <f ca="1">_xll.Interp($D$8,$J$3:$J$4,$K$3:$K4)</f>
        <v>#NAME?</v>
      </c>
      <c r="G8" s="5" t="s">
        <v>453</v>
      </c>
      <c r="H8" s="117" t="e">
        <f ca="1">IF($G8="Act/360",$F8*365/360,si($G8="30/360 Semi",$F8))</f>
        <v>#NAME?</v>
      </c>
      <c r="N8" s="142"/>
      <c r="O8" s="142"/>
      <c r="P8" s="142"/>
    </row>
    <row r="9" spans="1:18">
      <c r="A9" s="140" t="s">
        <v>442</v>
      </c>
      <c r="B9" s="5" t="s">
        <v>435</v>
      </c>
      <c r="C9" s="5">
        <v>180</v>
      </c>
      <c r="D9" s="116">
        <f t="shared" si="0"/>
        <v>6</v>
      </c>
      <c r="E9" s="8">
        <f t="shared" si="1"/>
        <v>43974</v>
      </c>
      <c r="F9" s="117">
        <v>2.3416299999999998E-2</v>
      </c>
      <c r="G9" s="5" t="s">
        <v>453</v>
      </c>
      <c r="H9" s="117">
        <f>IF($G9="Act/360",$F9*365/360,si($G9="30/360 Semi",$F9))</f>
        <v>2.3741526388888885E-2</v>
      </c>
      <c r="N9" s="142">
        <v>2.8576299999999999E-2</v>
      </c>
      <c r="O9" s="142">
        <v>2.88519E-2</v>
      </c>
      <c r="P9" s="142">
        <v>2.4242499999999997E-2</v>
      </c>
      <c r="Q9" s="117">
        <v>2.3487499999999998E-2</v>
      </c>
      <c r="R9" s="117">
        <v>2.3416299999999998E-2</v>
      </c>
    </row>
    <row r="10" spans="1:18">
      <c r="C10" s="5">
        <v>270</v>
      </c>
      <c r="D10" s="116">
        <f t="shared" si="0"/>
        <v>9</v>
      </c>
      <c r="E10" s="8">
        <f t="shared" si="1"/>
        <v>44066</v>
      </c>
      <c r="F10" s="117" t="e">
        <f ca="1">_xll.Interp($D$10,$J$4:$J$5,$K$4:$K5)</f>
        <v>#NAME?</v>
      </c>
      <c r="G10" s="5" t="s">
        <v>453</v>
      </c>
      <c r="H10" s="117" t="e">
        <f ca="1">IF($G10="Act/360",$F10*365/360,si($G10="30/360 Semi",$F10))</f>
        <v>#NAME?</v>
      </c>
      <c r="N10" s="142"/>
      <c r="O10" s="142"/>
      <c r="P10" s="142"/>
    </row>
    <row r="11" spans="1:18">
      <c r="A11" s="140" t="s">
        <v>443</v>
      </c>
      <c r="B11" s="5">
        <v>1</v>
      </c>
      <c r="C11" s="5">
        <v>360</v>
      </c>
      <c r="D11" s="116">
        <f t="shared" si="0"/>
        <v>12</v>
      </c>
      <c r="E11" s="8">
        <f t="shared" si="1"/>
        <v>44158</v>
      </c>
      <c r="F11" s="117">
        <v>2.3330000000000004E-2</v>
      </c>
      <c r="G11" s="5" t="s">
        <v>453</v>
      </c>
      <c r="H11" s="117">
        <f>IF($G11="Act/360",$F11*365/360,si($G11="30/360 Semi",$F11))</f>
        <v>2.3654027777777781E-2</v>
      </c>
      <c r="N11" s="142">
        <v>3.1407500000000005E-2</v>
      </c>
      <c r="O11" s="142">
        <v>3.11869E-2</v>
      </c>
      <c r="P11" s="142">
        <v>2.4052500000000001E-2</v>
      </c>
      <c r="Q11" s="117">
        <v>2.3376299999999999E-2</v>
      </c>
      <c r="R11" s="117">
        <v>2.3330000000000004E-2</v>
      </c>
    </row>
    <row r="12" spans="1:18">
      <c r="A12" s="140" t="s">
        <v>444</v>
      </c>
      <c r="B12" s="5">
        <v>2</v>
      </c>
      <c r="C12" s="5">
        <v>720</v>
      </c>
      <c r="D12" s="116">
        <f t="shared" si="0"/>
        <v>24</v>
      </c>
      <c r="E12" s="8">
        <f t="shared" si="1"/>
        <v>44523</v>
      </c>
      <c r="F12" s="117">
        <v>1.9271E-2</v>
      </c>
      <c r="G12" s="5" t="s">
        <v>454</v>
      </c>
      <c r="H12" s="117">
        <f t="shared" ref="H12:H20" si="2">IF($G12="Act/360",$F12*365/360,IF($G12="30/360 Semi",$F12))</f>
        <v>1.9271E-2</v>
      </c>
      <c r="I12" s="142"/>
      <c r="N12" s="142">
        <v>3.1503000000000003E-2</v>
      </c>
      <c r="O12" s="142">
        <v>2.9766000000000001E-2</v>
      </c>
      <c r="P12" s="142">
        <v>1.9254E-2</v>
      </c>
      <c r="Q12" s="117">
        <v>1.9719E-2</v>
      </c>
      <c r="R12" s="117">
        <v>1.9271E-2</v>
      </c>
    </row>
    <row r="13" spans="1:18">
      <c r="A13" s="140" t="s">
        <v>445</v>
      </c>
      <c r="B13" s="5">
        <v>3</v>
      </c>
      <c r="C13" s="5">
        <v>1080</v>
      </c>
      <c r="D13" s="116">
        <f t="shared" si="0"/>
        <v>36</v>
      </c>
      <c r="E13" s="8">
        <f t="shared" si="1"/>
        <v>44888</v>
      </c>
      <c r="F13" s="117">
        <v>1.8589000000000001E-2</v>
      </c>
      <c r="G13" s="5" t="s">
        <v>454</v>
      </c>
      <c r="H13" s="117">
        <f t="shared" si="2"/>
        <v>1.8589000000000001E-2</v>
      </c>
      <c r="I13" s="142"/>
      <c r="N13" s="142">
        <v>3.1985E-2</v>
      </c>
      <c r="O13" s="142">
        <v>2.9818999999999998E-2</v>
      </c>
      <c r="P13" s="142">
        <v>1.8641999999999999E-2</v>
      </c>
      <c r="Q13" s="117">
        <v>1.9203000000000001E-2</v>
      </c>
      <c r="R13" s="117">
        <v>1.8589000000000001E-2</v>
      </c>
    </row>
    <row r="14" spans="1:18">
      <c r="A14" s="140" t="s">
        <v>446</v>
      </c>
      <c r="B14" s="5">
        <v>4</v>
      </c>
      <c r="C14" s="5">
        <v>1440</v>
      </c>
      <c r="D14" s="116">
        <f t="shared" si="0"/>
        <v>48</v>
      </c>
      <c r="E14" s="8">
        <f t="shared" si="1"/>
        <v>45253</v>
      </c>
      <c r="F14" s="117">
        <v>1.8550000000000001E-2</v>
      </c>
      <c r="G14" s="5" t="s">
        <v>454</v>
      </c>
      <c r="H14" s="117">
        <f t="shared" si="2"/>
        <v>1.8550000000000001E-2</v>
      </c>
      <c r="I14" s="142"/>
      <c r="N14" s="142">
        <v>3.2085000000000002E-2</v>
      </c>
      <c r="O14" s="142">
        <v>2.9802999999999996E-2</v>
      </c>
      <c r="P14" s="142">
        <v>1.8713E-2</v>
      </c>
      <c r="Q14" s="117">
        <v>1.9177E-2</v>
      </c>
      <c r="R14" s="117">
        <v>1.8550000000000001E-2</v>
      </c>
    </row>
    <row r="15" spans="1:18">
      <c r="A15" s="140" t="s">
        <v>447</v>
      </c>
      <c r="B15" s="5">
        <v>5</v>
      </c>
      <c r="C15" s="5">
        <v>1800</v>
      </c>
      <c r="D15" s="116">
        <f t="shared" si="0"/>
        <v>60</v>
      </c>
      <c r="E15" s="8">
        <f t="shared" si="1"/>
        <v>45619</v>
      </c>
      <c r="F15" s="117">
        <v>1.8776000000000001E-2</v>
      </c>
      <c r="G15" s="5" t="s">
        <v>454</v>
      </c>
      <c r="H15" s="117">
        <f t="shared" si="2"/>
        <v>1.8776000000000001E-2</v>
      </c>
      <c r="I15" s="142"/>
      <c r="N15" s="142">
        <v>3.2140000000000002E-2</v>
      </c>
      <c r="O15" s="142">
        <v>2.9824000000000003E-2</v>
      </c>
      <c r="P15" s="142">
        <v>1.9039E-2</v>
      </c>
      <c r="Q15" s="117">
        <v>1.9399E-2</v>
      </c>
      <c r="R15" s="117">
        <v>1.8776000000000001E-2</v>
      </c>
    </row>
    <row r="16" spans="1:18">
      <c r="A16" s="140" t="s">
        <v>448</v>
      </c>
      <c r="B16" s="5">
        <v>7</v>
      </c>
      <c r="C16" s="5">
        <v>2520</v>
      </c>
      <c r="D16" s="116">
        <f t="shared" si="0"/>
        <v>84</v>
      </c>
      <c r="E16" s="8">
        <f t="shared" si="1"/>
        <v>46349</v>
      </c>
      <c r="F16" s="117">
        <v>1.9563999999999998E-2</v>
      </c>
      <c r="G16" s="5" t="s">
        <v>454</v>
      </c>
      <c r="H16" s="117">
        <f t="shared" si="2"/>
        <v>1.9563999999999998E-2</v>
      </c>
      <c r="I16" s="142"/>
      <c r="N16" s="142">
        <v>3.2385999999999998E-2</v>
      </c>
      <c r="O16" s="142">
        <v>3.0091E-2</v>
      </c>
      <c r="P16" s="142">
        <v>1.9828000000000002E-2</v>
      </c>
      <c r="Q16" s="117">
        <v>2.0119999999999999E-2</v>
      </c>
      <c r="R16" s="117">
        <v>1.9563999999999998E-2</v>
      </c>
    </row>
    <row r="17" spans="1:18">
      <c r="A17" s="140" t="s">
        <v>449</v>
      </c>
      <c r="B17" s="5">
        <v>10</v>
      </c>
      <c r="C17" s="5">
        <v>3600</v>
      </c>
      <c r="D17" s="116">
        <f t="shared" si="0"/>
        <v>120</v>
      </c>
      <c r="E17" s="8">
        <f t="shared" si="1"/>
        <v>47445</v>
      </c>
      <c r="F17" s="117">
        <v>2.0804999999999997E-2</v>
      </c>
      <c r="G17" s="5" t="s">
        <v>454</v>
      </c>
      <c r="H17" s="117">
        <f t="shared" si="2"/>
        <v>2.0804999999999997E-2</v>
      </c>
      <c r="I17" s="142"/>
      <c r="N17" s="142">
        <v>3.2924000000000002E-2</v>
      </c>
      <c r="O17" s="142">
        <v>3.0716E-2</v>
      </c>
      <c r="P17" s="142">
        <v>2.1021999999999999E-2</v>
      </c>
      <c r="Q17" s="117">
        <v>2.1278000000000002E-2</v>
      </c>
      <c r="R17" s="117">
        <v>2.0804999999999997E-2</v>
      </c>
    </row>
    <row r="18" spans="1:18">
      <c r="A18" s="140" t="s">
        <v>450</v>
      </c>
      <c r="B18" s="5">
        <v>15</v>
      </c>
      <c r="C18" s="5">
        <v>5400</v>
      </c>
      <c r="D18" s="116">
        <f t="shared" si="0"/>
        <v>180</v>
      </c>
      <c r="E18" s="8">
        <f t="shared" si="1"/>
        <v>49271</v>
      </c>
      <c r="F18" s="117">
        <v>2.2210000000000001E-2</v>
      </c>
      <c r="G18" s="5" t="s">
        <v>454</v>
      </c>
      <c r="H18" s="117">
        <f t="shared" si="2"/>
        <v>2.2210000000000001E-2</v>
      </c>
      <c r="I18" s="142"/>
      <c r="N18" s="142">
        <v>3.3482999999999999E-2</v>
      </c>
      <c r="O18" s="142">
        <v>3.1469999999999998E-2</v>
      </c>
      <c r="P18" s="142">
        <v>2.2372999999999997E-2</v>
      </c>
      <c r="Q18" s="117">
        <v>2.265E-2</v>
      </c>
      <c r="R18" s="117">
        <v>2.2210000000000001E-2</v>
      </c>
    </row>
    <row r="19" spans="1:18">
      <c r="A19" s="140" t="s">
        <v>451</v>
      </c>
      <c r="B19" s="5">
        <v>20</v>
      </c>
      <c r="C19" s="5">
        <v>7200</v>
      </c>
      <c r="D19" s="116">
        <f t="shared" si="0"/>
        <v>240</v>
      </c>
      <c r="E19" s="8">
        <f t="shared" si="1"/>
        <v>51097</v>
      </c>
      <c r="F19" s="117">
        <v>2.2863999999999999E-2</v>
      </c>
      <c r="G19" s="5" t="s">
        <v>454</v>
      </c>
      <c r="H19" s="117">
        <f t="shared" si="2"/>
        <v>2.2863999999999999E-2</v>
      </c>
      <c r="I19" s="142"/>
      <c r="N19" s="142">
        <v>3.3600999999999999E-2</v>
      </c>
      <c r="O19" s="142">
        <v>3.1706999999999999E-2</v>
      </c>
      <c r="P19" s="142">
        <v>2.299E-2</v>
      </c>
      <c r="Q19" s="117">
        <v>2.3284000000000003E-2</v>
      </c>
      <c r="R19" s="117">
        <v>2.2863999999999999E-2</v>
      </c>
    </row>
    <row r="20" spans="1:18">
      <c r="A20" s="140" t="s">
        <v>452</v>
      </c>
      <c r="B20" s="5">
        <v>30</v>
      </c>
      <c r="C20" s="5">
        <v>10800</v>
      </c>
      <c r="D20" s="116">
        <f t="shared" si="0"/>
        <v>360</v>
      </c>
      <c r="E20" s="8">
        <f t="shared" si="1"/>
        <v>54750</v>
      </c>
      <c r="F20" s="117">
        <v>2.3197000000000002E-2</v>
      </c>
      <c r="G20" s="5" t="s">
        <v>454</v>
      </c>
      <c r="H20" s="117">
        <f t="shared" si="2"/>
        <v>2.3197000000000002E-2</v>
      </c>
      <c r="I20" s="142"/>
      <c r="N20" s="142">
        <v>3.3384999999999998E-2</v>
      </c>
      <c r="O20" s="142">
        <v>3.1625E-2</v>
      </c>
      <c r="P20" s="142">
        <v>2.3304999999999999E-2</v>
      </c>
      <c r="Q20" s="117">
        <v>2.3597E-2</v>
      </c>
      <c r="R20" s="117">
        <v>2.3197000000000002E-2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usd_libor_2">
                <anchor moveWithCells="1" sizeWithCells="1">
                  <from>
                    <xdr:col>11</xdr:col>
                    <xdr:colOff>446314</xdr:colOff>
                    <xdr:row>2</xdr:row>
                    <xdr:rowOff>38100</xdr:rowOff>
                  </from>
                  <to>
                    <xdr:col>13</xdr:col>
                    <xdr:colOff>0</xdr:colOff>
                    <xdr:row>3</xdr:row>
                    <xdr:rowOff>103414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>
    <tabColor theme="1"/>
  </sheetPr>
  <dimension ref="A1:X40"/>
  <sheetViews>
    <sheetView topLeftCell="F1" workbookViewId="0">
      <selection activeCell="M13" sqref="M13"/>
    </sheetView>
  </sheetViews>
  <sheetFormatPr defaultColWidth="11.4609375" defaultRowHeight="14.6"/>
  <cols>
    <col min="1" max="1" width="15" style="1" bestFit="1" customWidth="1"/>
    <col min="2" max="2" width="13.84375" style="1" bestFit="1" customWidth="1"/>
    <col min="3" max="3" width="5.61328125" style="1" bestFit="1" customWidth="1"/>
    <col min="4" max="4" width="6" style="1" bestFit="1" customWidth="1"/>
    <col min="5" max="5" width="6.61328125" style="1" bestFit="1" customWidth="1"/>
    <col min="6" max="6" width="10.61328125" style="1" bestFit="1" customWidth="1"/>
    <col min="7" max="7" width="11.84375" style="1" bestFit="1" customWidth="1"/>
    <col min="8" max="8" width="6.3828125" style="1" bestFit="1" customWidth="1"/>
    <col min="9" max="9" width="11.61328125" style="1" bestFit="1" customWidth="1"/>
    <col min="10" max="11" width="11.84375" style="5" bestFit="1" customWidth="1"/>
    <col min="12" max="12" width="5.61328125" style="254" bestFit="1" customWidth="1"/>
    <col min="13" max="13" width="11.4609375" style="1"/>
    <col min="14" max="14" width="4.15234375" style="1" customWidth="1"/>
    <col min="15" max="16" width="11.4609375" style="1"/>
    <col min="17" max="17" width="10.61328125" style="226" bestFit="1" customWidth="1"/>
    <col min="18" max="18" width="5.4609375" style="226" bestFit="1" customWidth="1"/>
    <col min="19" max="19" width="10.61328125" style="226" bestFit="1" customWidth="1"/>
    <col min="20" max="20" width="6.3828125" style="226" bestFit="1" customWidth="1"/>
    <col min="21" max="21" width="11.4609375" style="1"/>
    <col min="22" max="22" width="6.3828125" style="1" bestFit="1" customWidth="1"/>
    <col min="23" max="16384" width="11.4609375" style="1"/>
  </cols>
  <sheetData>
    <row r="1" spans="1:24" s="103" customFormat="1" ht="43.75">
      <c r="A1" s="143">
        <f>intercambio!$B$16</f>
        <v>43792</v>
      </c>
      <c r="B1" s="146" t="s">
        <v>534</v>
      </c>
      <c r="C1" s="114" t="s">
        <v>425</v>
      </c>
      <c r="D1" s="114" t="s">
        <v>436</v>
      </c>
      <c r="E1" s="114" t="s">
        <v>426</v>
      </c>
      <c r="F1" s="114" t="s">
        <v>427</v>
      </c>
      <c r="G1" s="114" t="s">
        <v>503</v>
      </c>
      <c r="H1" s="114" t="s">
        <v>429</v>
      </c>
      <c r="I1" s="114" t="s">
        <v>113</v>
      </c>
      <c r="J1" s="114" t="s">
        <v>504</v>
      </c>
      <c r="K1" s="114" t="s">
        <v>505</v>
      </c>
      <c r="L1" s="114" t="s">
        <v>425</v>
      </c>
      <c r="Q1" s="227">
        <v>43433</v>
      </c>
      <c r="R1" s="228" t="s">
        <v>544</v>
      </c>
      <c r="S1" s="227">
        <v>43620</v>
      </c>
      <c r="T1" s="228" t="s">
        <v>544</v>
      </c>
      <c r="U1" s="249">
        <v>43626</v>
      </c>
      <c r="V1" s="228" t="s">
        <v>544</v>
      </c>
      <c r="W1" s="249">
        <v>43629</v>
      </c>
    </row>
    <row r="2" spans="1:24">
      <c r="A2" s="5" t="s">
        <v>545</v>
      </c>
      <c r="B2" s="5" t="s">
        <v>533</v>
      </c>
      <c r="C2" s="156" t="s">
        <v>430</v>
      </c>
      <c r="D2" s="5">
        <v>1</v>
      </c>
      <c r="E2" s="7">
        <f t="shared" ref="E2:E19" si="0">D2/30</f>
        <v>3.3333333333333333E-2</v>
      </c>
      <c r="F2" s="8">
        <f>$A$1+$D2</f>
        <v>43793</v>
      </c>
      <c r="G2" s="117">
        <v>-3.9500000000000004E-3</v>
      </c>
      <c r="H2" s="7">
        <v>-15.75</v>
      </c>
      <c r="I2" s="5" t="s">
        <v>453</v>
      </c>
      <c r="J2" s="117">
        <f t="shared" ref="J2:J19" si="1">$G2*365/360+$H2/10000</f>
        <v>-5.579861111111111E-3</v>
      </c>
      <c r="K2" s="117">
        <f>$J2-curvas!$H2</f>
        <v>-2.9410102777777777E-2</v>
      </c>
      <c r="L2" s="7">
        <f>+E2/12</f>
        <v>2.7777777777777779E-3</v>
      </c>
      <c r="M2" s="144"/>
      <c r="Q2" s="229">
        <v>-3.7599999999999999E-3</v>
      </c>
      <c r="R2" s="7">
        <v>-8.3750000000000005E-2</v>
      </c>
      <c r="S2" s="229">
        <v>-3.9100000000000003E-3</v>
      </c>
      <c r="T2" s="7">
        <v>-17</v>
      </c>
      <c r="U2" s="117">
        <v>-3.9100000000000003E-3</v>
      </c>
      <c r="V2" s="7">
        <v>-16.125</v>
      </c>
      <c r="W2" s="117">
        <v>-3.9500000000000004E-3</v>
      </c>
      <c r="X2" s="7">
        <v>-15.75</v>
      </c>
    </row>
    <row r="3" spans="1:24">
      <c r="A3" s="5" t="s">
        <v>545</v>
      </c>
      <c r="B3" s="5" t="s">
        <v>533</v>
      </c>
      <c r="C3" s="157" t="s">
        <v>506</v>
      </c>
      <c r="D3" s="5">
        <v>7</v>
      </c>
      <c r="E3" s="7">
        <f t="shared" si="0"/>
        <v>0.23333333333333334</v>
      </c>
      <c r="F3" s="8">
        <f>$A$1+$D3</f>
        <v>43799</v>
      </c>
      <c r="G3" s="117">
        <v>-3.9500000000000004E-3</v>
      </c>
      <c r="H3" s="7">
        <v>-15.75</v>
      </c>
      <c r="I3" s="5" t="s">
        <v>453</v>
      </c>
      <c r="J3" s="117">
        <f t="shared" si="1"/>
        <v>-5.579861111111111E-3</v>
      </c>
      <c r="K3" s="117">
        <f>$J3-curvas!$H3</f>
        <v>-2.9654652777777776E-2</v>
      </c>
      <c r="L3" s="7">
        <f t="shared" ref="L3:L19" si="2">+E3/12</f>
        <v>1.9444444444444445E-2</v>
      </c>
      <c r="M3" s="144"/>
      <c r="Q3" s="229">
        <v>-3.7599999999999999E-3</v>
      </c>
      <c r="R3" s="7">
        <v>-8.3750000000000005E-2</v>
      </c>
      <c r="S3" s="229">
        <v>-3.9100000000000003E-3</v>
      </c>
      <c r="T3" s="7">
        <v>-17</v>
      </c>
      <c r="U3" s="117">
        <v>-3.9100000000000003E-3</v>
      </c>
      <c r="V3" s="7">
        <v>-16.125</v>
      </c>
      <c r="W3" s="117">
        <v>-3.9500000000000004E-3</v>
      </c>
      <c r="X3" s="7">
        <v>-15.75</v>
      </c>
    </row>
    <row r="4" spans="1:24">
      <c r="A4" s="5" t="s">
        <v>546</v>
      </c>
      <c r="B4" s="5" t="s">
        <v>533</v>
      </c>
      <c r="C4" s="157" t="s">
        <v>507</v>
      </c>
      <c r="D4" s="5">
        <v>30</v>
      </c>
      <c r="E4" s="116">
        <f t="shared" si="0"/>
        <v>1</v>
      </c>
      <c r="F4" s="8">
        <f t="shared" ref="F4:F19" si="3">EDATE($A$1,$D4)</f>
        <v>44704</v>
      </c>
      <c r="G4" s="117">
        <v>-3.7699999999999999E-3</v>
      </c>
      <c r="H4" s="7">
        <v>-15.75</v>
      </c>
      <c r="I4" s="5" t="s">
        <v>453</v>
      </c>
      <c r="J4" s="117">
        <f t="shared" si="1"/>
        <v>-5.3973611111111115E-3</v>
      </c>
      <c r="K4" s="117">
        <f>$J4-curvas!$H4</f>
        <v>-2.9742151388888895E-2</v>
      </c>
      <c r="L4" s="7">
        <f t="shared" si="2"/>
        <v>8.3333333333333329E-2</v>
      </c>
      <c r="M4" s="144"/>
      <c r="N4" s="333" t="s">
        <v>532</v>
      </c>
      <c r="O4" s="333"/>
      <c r="Q4" s="229">
        <v>-3.6800000000000001E-3</v>
      </c>
      <c r="R4" s="7">
        <v>-8.3750000000000005E-2</v>
      </c>
      <c r="S4" s="229">
        <v>-3.79E-3</v>
      </c>
      <c r="T4" s="7">
        <v>-17</v>
      </c>
      <c r="U4" s="117">
        <v>-3.7699999999999999E-3</v>
      </c>
      <c r="V4" s="7">
        <v>-16.125</v>
      </c>
      <c r="W4" s="117">
        <v>-3.7699999999999999E-3</v>
      </c>
      <c r="X4" s="7">
        <v>-15.75</v>
      </c>
    </row>
    <row r="5" spans="1:24">
      <c r="A5" s="5" t="s">
        <v>547</v>
      </c>
      <c r="B5" s="5" t="s">
        <v>533</v>
      </c>
      <c r="C5" s="157" t="s">
        <v>508</v>
      </c>
      <c r="D5" s="5">
        <v>90</v>
      </c>
      <c r="E5" s="116">
        <f t="shared" si="0"/>
        <v>3</v>
      </c>
      <c r="F5" s="8">
        <f t="shared" si="3"/>
        <v>46530</v>
      </c>
      <c r="G5" s="117">
        <v>-3.1800000000000001E-3</v>
      </c>
      <c r="H5" s="7">
        <v>-15.75</v>
      </c>
      <c r="I5" s="5" t="s">
        <v>453</v>
      </c>
      <c r="J5" s="117">
        <f t="shared" si="1"/>
        <v>-4.7991666666666669E-3</v>
      </c>
      <c r="K5" s="117">
        <f>$J5-curvas!$H5</f>
        <v>-2.9339130555555554E-2</v>
      </c>
      <c r="L5" s="7">
        <f t="shared" si="2"/>
        <v>0.25</v>
      </c>
      <c r="N5" s="1">
        <v>3</v>
      </c>
      <c r="O5" s="117">
        <f>$G$5</f>
        <v>-3.1800000000000001E-3</v>
      </c>
      <c r="Q5" s="229">
        <v>-3.16E-3</v>
      </c>
      <c r="R5" s="7">
        <v>-8.3750000000000005E-2</v>
      </c>
      <c r="S5" s="229">
        <v>-3.2200000000000002E-3</v>
      </c>
      <c r="T5" s="7">
        <v>-17</v>
      </c>
      <c r="U5" s="117">
        <v>-3.1800000000000001E-3</v>
      </c>
      <c r="V5" s="7">
        <v>-16.125</v>
      </c>
      <c r="W5" s="117">
        <v>-3.1800000000000001E-3</v>
      </c>
      <c r="X5" s="7">
        <v>-15.75</v>
      </c>
    </row>
    <row r="6" spans="1:24">
      <c r="A6" s="5"/>
      <c r="B6" s="5" t="s">
        <v>533</v>
      </c>
      <c r="C6" s="157" t="s">
        <v>509</v>
      </c>
      <c r="D6" s="5">
        <v>120</v>
      </c>
      <c r="E6" s="116">
        <f t="shared" si="0"/>
        <v>4</v>
      </c>
      <c r="F6" s="8">
        <f t="shared" si="3"/>
        <v>47445</v>
      </c>
      <c r="G6" s="117" t="e">
        <f ca="1">_xll.Interp($E$6,$N$5:$N$6,$O$5:$O$6)</f>
        <v>#NAME?</v>
      </c>
      <c r="H6" s="7">
        <v>-15.75</v>
      </c>
      <c r="I6" s="5" t="s">
        <v>453</v>
      </c>
      <c r="J6" s="117" t="e">
        <f t="shared" ca="1" si="1"/>
        <v>#NAME?</v>
      </c>
      <c r="K6" s="117" t="e">
        <f ca="1">$J6-curvas!$H6</f>
        <v>#NAME?</v>
      </c>
      <c r="L6" s="7">
        <f t="shared" si="2"/>
        <v>0.33333333333333331</v>
      </c>
      <c r="N6" s="1">
        <v>6</v>
      </c>
      <c r="O6" s="117">
        <f>$G$8</f>
        <v>-2.5899999999999999E-3</v>
      </c>
      <c r="Q6" s="229"/>
      <c r="R6" s="7">
        <v>-8.3750000000000005E-2</v>
      </c>
      <c r="S6" s="229"/>
      <c r="T6" s="7">
        <v>-17</v>
      </c>
      <c r="V6" s="7">
        <v>-16.125</v>
      </c>
      <c r="X6" s="7">
        <v>-15.75</v>
      </c>
    </row>
    <row r="7" spans="1:24">
      <c r="A7" s="5"/>
      <c r="B7" s="5" t="s">
        <v>533</v>
      </c>
      <c r="C7" s="157" t="s">
        <v>510</v>
      </c>
      <c r="D7" s="5">
        <v>150</v>
      </c>
      <c r="E7" s="116">
        <f t="shared" si="0"/>
        <v>5</v>
      </c>
      <c r="F7" s="8">
        <f t="shared" si="3"/>
        <v>48357</v>
      </c>
      <c r="G7" s="117" t="e">
        <f ca="1">_xll.Interp($E$7,$N$5:$N$6,$O$5:$O$6)</f>
        <v>#NAME?</v>
      </c>
      <c r="H7" s="7">
        <v>-15.75</v>
      </c>
      <c r="I7" s="5" t="s">
        <v>453</v>
      </c>
      <c r="J7" s="117" t="e">
        <f t="shared" ca="1" si="1"/>
        <v>#NAME?</v>
      </c>
      <c r="K7" s="117" t="e">
        <f ca="1">$J7-curvas!$H7</f>
        <v>#NAME?</v>
      </c>
      <c r="L7" s="7">
        <f t="shared" si="2"/>
        <v>0.41666666666666669</v>
      </c>
      <c r="N7" s="1">
        <v>12</v>
      </c>
      <c r="O7" s="117">
        <f>$G$10</f>
        <v>-1.73E-3</v>
      </c>
      <c r="Q7" s="229"/>
      <c r="R7" s="7">
        <v>-8.3750000000000005E-2</v>
      </c>
      <c r="S7" s="229"/>
      <c r="T7" s="7">
        <v>-17</v>
      </c>
      <c r="V7" s="7">
        <v>-16.125</v>
      </c>
      <c r="X7" s="7">
        <v>-15.75</v>
      </c>
    </row>
    <row r="8" spans="1:24">
      <c r="A8" s="5" t="s">
        <v>548</v>
      </c>
      <c r="B8" s="5" t="s">
        <v>533</v>
      </c>
      <c r="C8" s="157" t="s">
        <v>511</v>
      </c>
      <c r="D8" s="5">
        <v>180</v>
      </c>
      <c r="E8" s="116">
        <f t="shared" si="0"/>
        <v>6</v>
      </c>
      <c r="F8" s="8">
        <f t="shared" si="3"/>
        <v>49271</v>
      </c>
      <c r="G8" s="117">
        <v>-2.5899999999999999E-3</v>
      </c>
      <c r="H8" s="7">
        <v>-15.75</v>
      </c>
      <c r="I8" s="5" t="s">
        <v>453</v>
      </c>
      <c r="J8" s="117">
        <f t="shared" si="1"/>
        <v>-4.2009722222222223E-3</v>
      </c>
      <c r="K8" s="117" t="e">
        <f ca="1">$J8-curvas!$H8</f>
        <v>#NAME?</v>
      </c>
      <c r="L8" s="7">
        <f t="shared" si="2"/>
        <v>0.5</v>
      </c>
      <c r="Q8" s="229">
        <v>-2.5300000000000001E-3</v>
      </c>
      <c r="R8" s="7">
        <v>-8.3750000000000005E-2</v>
      </c>
      <c r="S8" s="229">
        <v>-2.5400000000000002E-3</v>
      </c>
      <c r="T8" s="7">
        <v>-17</v>
      </c>
      <c r="U8" s="117">
        <v>-2.5800000000000003E-3</v>
      </c>
      <c r="V8" s="7">
        <v>-16.125</v>
      </c>
      <c r="W8" s="117">
        <v>-2.5899999999999999E-3</v>
      </c>
      <c r="X8" s="7">
        <v>-15.75</v>
      </c>
    </row>
    <row r="9" spans="1:24">
      <c r="A9" s="5"/>
      <c r="B9" s="5" t="s">
        <v>533</v>
      </c>
      <c r="C9" s="157" t="s">
        <v>512</v>
      </c>
      <c r="D9" s="5">
        <v>270</v>
      </c>
      <c r="E9" s="116">
        <f t="shared" si="0"/>
        <v>9</v>
      </c>
      <c r="F9" s="8">
        <f t="shared" si="3"/>
        <v>52009</v>
      </c>
      <c r="G9" s="117" t="e">
        <f ca="1">_xll.Interp($E$9,$N$6:$N$7,$O$6:$O$7)</f>
        <v>#NAME?</v>
      </c>
      <c r="H9" s="7">
        <v>-15.75</v>
      </c>
      <c r="I9" s="5" t="s">
        <v>453</v>
      </c>
      <c r="J9" s="117" t="e">
        <f t="shared" ca="1" si="1"/>
        <v>#NAME?</v>
      </c>
      <c r="K9" s="117" t="e">
        <f ca="1">$J9-curvas!$H9</f>
        <v>#NAME?</v>
      </c>
      <c r="L9" s="7">
        <f t="shared" si="2"/>
        <v>0.75</v>
      </c>
      <c r="Q9" s="229"/>
      <c r="R9" s="7">
        <v>-8.3750000000000005E-2</v>
      </c>
      <c r="S9" s="229"/>
      <c r="T9" s="7">
        <v>-17</v>
      </c>
      <c r="V9" s="7">
        <v>-16.125</v>
      </c>
      <c r="X9" s="7">
        <v>-15.75</v>
      </c>
    </row>
    <row r="10" spans="1:24">
      <c r="A10" s="5" t="s">
        <v>549</v>
      </c>
      <c r="B10" s="5" t="s">
        <v>533</v>
      </c>
      <c r="C10" s="157" t="s">
        <v>513</v>
      </c>
      <c r="D10" s="5">
        <v>360</v>
      </c>
      <c r="E10" s="116">
        <f t="shared" si="0"/>
        <v>12</v>
      </c>
      <c r="F10" s="8">
        <f t="shared" si="3"/>
        <v>54750</v>
      </c>
      <c r="G10" s="117">
        <v>-1.73E-3</v>
      </c>
      <c r="H10" s="7">
        <v>-15.75</v>
      </c>
      <c r="I10" s="5" t="s">
        <v>453</v>
      </c>
      <c r="J10" s="117">
        <f t="shared" si="1"/>
        <v>-3.329027777777778E-3</v>
      </c>
      <c r="K10" s="117" t="e">
        <f ca="1">$J10-curvas!$H10</f>
        <v>#NAME?</v>
      </c>
      <c r="L10" s="7">
        <f t="shared" si="2"/>
        <v>1</v>
      </c>
      <c r="Q10" s="229">
        <v>-1.4599999999999999E-3</v>
      </c>
      <c r="R10" s="7">
        <v>-8.3750000000000005E-2</v>
      </c>
      <c r="S10" s="229">
        <v>-1.7699999999999999E-3</v>
      </c>
      <c r="T10" s="7">
        <v>-17</v>
      </c>
      <c r="U10" s="117">
        <v>-1.7799999999999999E-3</v>
      </c>
      <c r="V10" s="7">
        <v>-16.125</v>
      </c>
      <c r="W10" s="117">
        <v>-1.73E-3</v>
      </c>
      <c r="X10" s="7">
        <v>-15.75</v>
      </c>
    </row>
    <row r="11" spans="1:24">
      <c r="A11" s="5" t="s">
        <v>523</v>
      </c>
      <c r="B11" s="5" t="s">
        <v>535</v>
      </c>
      <c r="C11" s="157" t="s">
        <v>514</v>
      </c>
      <c r="D11" s="5">
        <v>720</v>
      </c>
      <c r="E11" s="116">
        <f t="shared" si="0"/>
        <v>24</v>
      </c>
      <c r="F11" s="8">
        <f t="shared" si="3"/>
        <v>65707</v>
      </c>
      <c r="G11" s="117">
        <v>-3.1120000000000002E-3</v>
      </c>
      <c r="H11" s="7">
        <v>-16.125</v>
      </c>
      <c r="I11" s="5" t="s">
        <v>454</v>
      </c>
      <c r="J11" s="117">
        <f t="shared" si="1"/>
        <v>-4.7677222222222218E-3</v>
      </c>
      <c r="K11" s="117">
        <f>$J11-curvas!$H11</f>
        <v>-2.8421750000000003E-2</v>
      </c>
      <c r="L11" s="7">
        <f t="shared" si="2"/>
        <v>2</v>
      </c>
      <c r="Q11" s="229">
        <v>-1.5160000000000002E-3</v>
      </c>
      <c r="R11" s="7">
        <v>-0.115</v>
      </c>
      <c r="S11" s="229">
        <v>-2.797E-3</v>
      </c>
      <c r="T11" s="7">
        <v>-17.125</v>
      </c>
      <c r="U11" s="117">
        <v>-2.996E-3</v>
      </c>
      <c r="V11" s="7">
        <v>-16.625</v>
      </c>
      <c r="W11" s="117">
        <v>-3.1120000000000002E-3</v>
      </c>
      <c r="X11" s="7">
        <v>-16.125</v>
      </c>
    </row>
    <row r="12" spans="1:24">
      <c r="A12" s="5" t="s">
        <v>524</v>
      </c>
      <c r="B12" s="5" t="s">
        <v>536</v>
      </c>
      <c r="C12" s="157" t="s">
        <v>515</v>
      </c>
      <c r="D12" s="5">
        <v>1080</v>
      </c>
      <c r="E12" s="116">
        <f t="shared" si="0"/>
        <v>36</v>
      </c>
      <c r="F12" s="8">
        <f t="shared" si="3"/>
        <v>76664</v>
      </c>
      <c r="G12" s="117">
        <v>-2.823E-3</v>
      </c>
      <c r="H12" s="7">
        <v>-17.375</v>
      </c>
      <c r="I12" s="5" t="s">
        <v>454</v>
      </c>
      <c r="J12" s="117">
        <f t="shared" si="1"/>
        <v>-4.5997083333333333E-3</v>
      </c>
      <c r="K12" s="117">
        <f>$J12-curvas!$H12</f>
        <v>-2.3870708333333334E-2</v>
      </c>
      <c r="L12" s="7">
        <f t="shared" si="2"/>
        <v>3</v>
      </c>
      <c r="Q12" s="229">
        <v>-1.65E-4</v>
      </c>
      <c r="R12" s="7">
        <v>-0.11874999999999999</v>
      </c>
      <c r="S12" s="229">
        <v>-2.4020000000000001E-3</v>
      </c>
      <c r="T12" s="7">
        <v>-17.5</v>
      </c>
      <c r="U12" s="117">
        <v>-2.673E-3</v>
      </c>
      <c r="V12" s="7">
        <v>-17.5</v>
      </c>
      <c r="W12" s="117">
        <v>-2.823E-3</v>
      </c>
      <c r="X12" s="7">
        <v>-17.375</v>
      </c>
    </row>
    <row r="13" spans="1:24">
      <c r="A13" s="5" t="s">
        <v>525</v>
      </c>
      <c r="B13" s="5" t="s">
        <v>537</v>
      </c>
      <c r="C13" s="157" t="s">
        <v>516</v>
      </c>
      <c r="D13" s="5">
        <v>1440</v>
      </c>
      <c r="E13" s="116">
        <f t="shared" si="0"/>
        <v>48</v>
      </c>
      <c r="F13" s="8">
        <f t="shared" si="3"/>
        <v>87621</v>
      </c>
      <c r="G13" s="117">
        <v>-2.2650000000000001E-3</v>
      </c>
      <c r="H13" s="7">
        <v>-18.625</v>
      </c>
      <c r="I13" s="5" t="s">
        <v>454</v>
      </c>
      <c r="J13" s="117">
        <f t="shared" si="1"/>
        <v>-4.158958333333334E-3</v>
      </c>
      <c r="K13" s="117">
        <f>$J13-curvas!$H13</f>
        <v>-2.2747958333333335E-2</v>
      </c>
      <c r="L13" s="7">
        <f t="shared" si="2"/>
        <v>4</v>
      </c>
      <c r="Q13" s="229">
        <v>1.3550000000000001E-3</v>
      </c>
      <c r="R13" s="7">
        <v>-0.125</v>
      </c>
      <c r="S13" s="229">
        <v>-1.8060000000000001E-3</v>
      </c>
      <c r="T13" s="7">
        <v>-18.25</v>
      </c>
      <c r="U13" s="117">
        <v>-2.1220000000000002E-3</v>
      </c>
      <c r="V13" s="7">
        <v>-18.5</v>
      </c>
      <c r="W13" s="117">
        <v>-2.2650000000000001E-3</v>
      </c>
      <c r="X13" s="7">
        <v>-18.625</v>
      </c>
    </row>
    <row r="14" spans="1:24">
      <c r="A14" s="5" t="s">
        <v>526</v>
      </c>
      <c r="B14" s="5" t="s">
        <v>538</v>
      </c>
      <c r="C14" s="157" t="s">
        <v>517</v>
      </c>
      <c r="D14" s="5">
        <v>1800</v>
      </c>
      <c r="E14" s="116">
        <f t="shared" si="0"/>
        <v>60</v>
      </c>
      <c r="F14" s="8">
        <f t="shared" si="3"/>
        <v>98579</v>
      </c>
      <c r="G14" s="117">
        <v>-1.5449999999999999E-3</v>
      </c>
      <c r="H14" s="7">
        <v>-19.5</v>
      </c>
      <c r="I14" s="5" t="s">
        <v>454</v>
      </c>
      <c r="J14" s="117">
        <f t="shared" si="1"/>
        <v>-3.5164583333333332E-3</v>
      </c>
      <c r="K14" s="117">
        <f>$J14-curvas!$H14</f>
        <v>-2.2066458333333334E-2</v>
      </c>
      <c r="L14" s="7">
        <f t="shared" si="2"/>
        <v>5</v>
      </c>
      <c r="Q14" s="229">
        <v>2.7950000000000002E-3</v>
      </c>
      <c r="R14" s="7">
        <v>-0.13250000000000001</v>
      </c>
      <c r="S14" s="229">
        <v>-1.07E-3</v>
      </c>
      <c r="T14" s="7">
        <v>-19</v>
      </c>
      <c r="U14" s="117">
        <v>-1.4060000000000001E-3</v>
      </c>
      <c r="V14" s="7">
        <v>-19.125</v>
      </c>
      <c r="W14" s="117">
        <v>-1.5449999999999999E-3</v>
      </c>
      <c r="X14" s="7">
        <v>-19.5</v>
      </c>
    </row>
    <row r="15" spans="1:24">
      <c r="A15" s="5" t="s">
        <v>527</v>
      </c>
      <c r="B15" s="5" t="s">
        <v>539</v>
      </c>
      <c r="C15" s="157" t="s">
        <v>518</v>
      </c>
      <c r="D15" s="5">
        <v>2520</v>
      </c>
      <c r="E15" s="116">
        <f t="shared" si="0"/>
        <v>84</v>
      </c>
      <c r="F15" s="8">
        <f t="shared" si="3"/>
        <v>120493</v>
      </c>
      <c r="G15" s="117">
        <v>1.2999999999999999E-4</v>
      </c>
      <c r="H15" s="7">
        <v>-20.625</v>
      </c>
      <c r="I15" s="5" t="s">
        <v>454</v>
      </c>
      <c r="J15" s="117">
        <f t="shared" si="1"/>
        <v>-1.9306944444444445E-3</v>
      </c>
      <c r="K15" s="117">
        <f>$J15-curvas!$H15</f>
        <v>-2.0706694444444444E-2</v>
      </c>
      <c r="L15" s="7">
        <f t="shared" si="2"/>
        <v>7</v>
      </c>
      <c r="Q15" s="229">
        <v>5.4949999999999999E-3</v>
      </c>
      <c r="R15" s="7">
        <v>-0.13625000000000001</v>
      </c>
      <c r="S15" s="229">
        <v>5.0999999999999993E-4</v>
      </c>
      <c r="T15" s="7">
        <v>-20</v>
      </c>
      <c r="U15" s="117">
        <v>2.72E-4</v>
      </c>
      <c r="V15" s="7">
        <v>-20.5</v>
      </c>
      <c r="W15" s="117">
        <v>1.2999999999999999E-4</v>
      </c>
      <c r="X15" s="7">
        <v>-20.625</v>
      </c>
    </row>
    <row r="16" spans="1:24">
      <c r="A16" s="5" t="s">
        <v>528</v>
      </c>
      <c r="B16" s="5" t="s">
        <v>540</v>
      </c>
      <c r="C16" s="157" t="s">
        <v>519</v>
      </c>
      <c r="D16" s="5">
        <v>3600</v>
      </c>
      <c r="E16" s="116">
        <f t="shared" si="0"/>
        <v>120</v>
      </c>
      <c r="F16" s="8">
        <f t="shared" si="3"/>
        <v>153364</v>
      </c>
      <c r="G16" s="117">
        <v>2.7629999999999998E-3</v>
      </c>
      <c r="H16" s="7">
        <v>-20.5</v>
      </c>
      <c r="I16" s="5" t="s">
        <v>454</v>
      </c>
      <c r="J16" s="117">
        <f t="shared" si="1"/>
        <v>7.5137499999999944E-4</v>
      </c>
      <c r="K16" s="117">
        <f>$J16-curvas!$H16</f>
        <v>-1.8812624999999999E-2</v>
      </c>
      <c r="L16" s="7">
        <f t="shared" si="2"/>
        <v>10</v>
      </c>
      <c r="Q16" s="229">
        <v>8.849000000000001E-3</v>
      </c>
      <c r="R16" s="7">
        <v>-0.13375000000000001</v>
      </c>
      <c r="S16" s="229">
        <v>3.0669999999999998E-3</v>
      </c>
      <c r="T16" s="7">
        <v>-20</v>
      </c>
      <c r="U16" s="117">
        <v>2.9320000000000001E-3</v>
      </c>
      <c r="V16" s="7">
        <v>-20.625</v>
      </c>
      <c r="W16" s="117">
        <v>2.7629999999999998E-3</v>
      </c>
      <c r="X16" s="7">
        <v>-20.5</v>
      </c>
    </row>
    <row r="17" spans="1:24">
      <c r="A17" s="5" t="s">
        <v>529</v>
      </c>
      <c r="B17" s="5" t="s">
        <v>541</v>
      </c>
      <c r="C17" s="157" t="s">
        <v>520</v>
      </c>
      <c r="D17" s="5">
        <v>5400</v>
      </c>
      <c r="E17" s="116">
        <f t="shared" si="0"/>
        <v>180</v>
      </c>
      <c r="F17" s="8">
        <f t="shared" si="3"/>
        <v>208152</v>
      </c>
      <c r="G17" s="117">
        <v>5.9899999999999997E-3</v>
      </c>
      <c r="H17" s="7">
        <v>-17</v>
      </c>
      <c r="I17" s="5" t="s">
        <v>454</v>
      </c>
      <c r="J17" s="117">
        <f t="shared" si="1"/>
        <v>4.3731944444444443E-3</v>
      </c>
      <c r="K17" s="117">
        <f>$J17-curvas!$H17</f>
        <v>-1.6431805555555554E-2</v>
      </c>
      <c r="L17" s="7">
        <f t="shared" si="2"/>
        <v>15</v>
      </c>
      <c r="Q17" s="229">
        <v>1.2435E-2</v>
      </c>
      <c r="R17" s="7">
        <v>-0.10249999999999999</v>
      </c>
      <c r="S17" s="229">
        <v>6.2599999999999999E-3</v>
      </c>
      <c r="T17" s="7">
        <v>-16.625</v>
      </c>
      <c r="U17" s="117">
        <v>6.1829999999999993E-3</v>
      </c>
      <c r="V17" s="7">
        <v>-17.625</v>
      </c>
      <c r="W17" s="117">
        <v>5.9899999999999997E-3</v>
      </c>
      <c r="X17" s="7">
        <v>-17</v>
      </c>
    </row>
    <row r="18" spans="1:24">
      <c r="A18" s="5" t="s">
        <v>530</v>
      </c>
      <c r="B18" s="5" t="s">
        <v>542</v>
      </c>
      <c r="C18" s="157" t="s">
        <v>521</v>
      </c>
      <c r="D18" s="5">
        <v>7200</v>
      </c>
      <c r="E18" s="116">
        <f t="shared" si="0"/>
        <v>240</v>
      </c>
      <c r="F18" s="8">
        <f t="shared" si="3"/>
        <v>262937</v>
      </c>
      <c r="G18" s="117">
        <v>7.6750000000000004E-3</v>
      </c>
      <c r="H18" s="7">
        <v>-10.75</v>
      </c>
      <c r="I18" s="5" t="s">
        <v>454</v>
      </c>
      <c r="J18" s="117">
        <f t="shared" si="1"/>
        <v>6.7065972222222232E-3</v>
      </c>
      <c r="K18" s="117">
        <f>$J18-curvas!$H18</f>
        <v>-1.5503402777777777E-2</v>
      </c>
      <c r="L18" s="7">
        <f t="shared" si="2"/>
        <v>20</v>
      </c>
      <c r="Q18" s="229">
        <v>1.4064999999999999E-2</v>
      </c>
      <c r="R18" s="7">
        <v>-4.6249999999999999E-2</v>
      </c>
      <c r="S18" s="229">
        <v>7.9129999999999999E-3</v>
      </c>
      <c r="T18" s="7">
        <v>-10.75</v>
      </c>
      <c r="U18" s="117">
        <v>7.8549999999999991E-3</v>
      </c>
      <c r="V18" s="7">
        <v>-11.75</v>
      </c>
      <c r="W18" s="117">
        <v>7.6750000000000004E-3</v>
      </c>
      <c r="X18" s="7">
        <v>-10.75</v>
      </c>
    </row>
    <row r="19" spans="1:24">
      <c r="A19" s="5" t="s">
        <v>531</v>
      </c>
      <c r="B19" s="5" t="s">
        <v>543</v>
      </c>
      <c r="C19" s="157" t="s">
        <v>522</v>
      </c>
      <c r="D19" s="5">
        <v>10800</v>
      </c>
      <c r="E19" s="116">
        <f t="shared" si="0"/>
        <v>360</v>
      </c>
      <c r="F19" s="8">
        <f t="shared" si="3"/>
        <v>372510</v>
      </c>
      <c r="G19" s="117">
        <v>8.541E-3</v>
      </c>
      <c r="H19" s="7">
        <v>-1.75</v>
      </c>
      <c r="I19" s="5" t="s">
        <v>454</v>
      </c>
      <c r="J19" s="117">
        <f t="shared" si="1"/>
        <v>8.4846250000000008E-3</v>
      </c>
      <c r="K19" s="117">
        <f>$J19-curvas!$H19</f>
        <v>-1.4379374999999998E-2</v>
      </c>
      <c r="L19" s="7">
        <f t="shared" si="2"/>
        <v>30</v>
      </c>
      <c r="Q19" s="229">
        <v>1.4659999999999999E-2</v>
      </c>
      <c r="R19" s="7">
        <v>3.875E-2</v>
      </c>
      <c r="S19" s="229">
        <v>8.7250000000000001E-3</v>
      </c>
      <c r="T19" s="7">
        <v>-2.5</v>
      </c>
      <c r="U19" s="117">
        <v>8.7089999999999997E-3</v>
      </c>
      <c r="V19" s="7">
        <v>-3.5</v>
      </c>
      <c r="W19" s="117">
        <v>8.541E-3</v>
      </c>
      <c r="X19" s="7">
        <v>-1.75</v>
      </c>
    </row>
    <row r="23" spans="1:24">
      <c r="H23" s="145"/>
      <c r="W23" s="1" t="s">
        <v>648</v>
      </c>
    </row>
    <row r="24" spans="1:24">
      <c r="H24" s="145"/>
      <c r="W24" s="1" t="s">
        <v>648</v>
      </c>
    </row>
    <row r="25" spans="1:24">
      <c r="H25" s="145"/>
      <c r="W25" s="1" t="s">
        <v>648</v>
      </c>
    </row>
    <row r="26" spans="1:24">
      <c r="H26" s="145"/>
      <c r="W26" s="1" t="s">
        <v>648</v>
      </c>
    </row>
    <row r="27" spans="1:24">
      <c r="H27" s="145"/>
      <c r="W27" s="1" t="s">
        <v>648</v>
      </c>
    </row>
    <row r="28" spans="1:24">
      <c r="H28" s="145"/>
      <c r="W28" s="1" t="s">
        <v>648</v>
      </c>
    </row>
    <row r="29" spans="1:24">
      <c r="H29" s="145"/>
      <c r="W29" s="1" t="s">
        <v>648</v>
      </c>
    </row>
    <row r="30" spans="1:24">
      <c r="H30" s="145"/>
      <c r="W30" s="1" t="s">
        <v>648</v>
      </c>
    </row>
    <row r="31" spans="1:24">
      <c r="H31" s="145"/>
      <c r="W31" s="1" t="s">
        <v>648</v>
      </c>
    </row>
    <row r="32" spans="1:24">
      <c r="H32" s="145"/>
      <c r="W32" s="1" t="s">
        <v>648</v>
      </c>
    </row>
    <row r="33" spans="8:23">
      <c r="H33" s="145"/>
      <c r="W33" s="1" t="s">
        <v>648</v>
      </c>
    </row>
    <row r="34" spans="8:23">
      <c r="H34" s="145"/>
      <c r="W34" s="1" t="s">
        <v>648</v>
      </c>
    </row>
    <row r="35" spans="8:23">
      <c r="H35" s="145"/>
      <c r="W35" s="1" t="s">
        <v>648</v>
      </c>
    </row>
    <row r="36" spans="8:23">
      <c r="H36" s="147"/>
      <c r="W36" s="1" t="s">
        <v>648</v>
      </c>
    </row>
    <row r="37" spans="8:23">
      <c r="H37" s="147"/>
      <c r="W37" s="1" t="s">
        <v>648</v>
      </c>
    </row>
    <row r="38" spans="8:23">
      <c r="H38" s="147"/>
      <c r="W38" s="1" t="s">
        <v>648</v>
      </c>
    </row>
    <row r="39" spans="8:23">
      <c r="H39" s="147"/>
      <c r="W39" s="1" t="s">
        <v>648</v>
      </c>
    </row>
    <row r="40" spans="8:23">
      <c r="H40" s="147"/>
    </row>
  </sheetData>
  <mergeCells count="1">
    <mergeCell ref="N4:O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eur_rates">
                <anchor moveWithCells="1" sizeWithCells="1">
                  <from>
                    <xdr:col>12</xdr:col>
                    <xdr:colOff>762000</xdr:colOff>
                    <xdr:row>8</xdr:row>
                    <xdr:rowOff>163286</xdr:rowOff>
                  </from>
                  <to>
                    <xdr:col>15</xdr:col>
                    <xdr:colOff>38100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1">
    <tabColor theme="1"/>
  </sheetPr>
  <dimension ref="A1:AB34"/>
  <sheetViews>
    <sheetView topLeftCell="D1" workbookViewId="0">
      <selection activeCell="A3" sqref="A3:B3"/>
    </sheetView>
  </sheetViews>
  <sheetFormatPr defaultColWidth="11.4609375" defaultRowHeight="14.6"/>
  <cols>
    <col min="1" max="1" width="6.3828125" style="1" bestFit="1" customWidth="1"/>
    <col min="2" max="2" width="18.3828125" style="1" bestFit="1" customWidth="1"/>
    <col min="3" max="3" width="18.84375" style="1" bestFit="1" customWidth="1"/>
    <col min="4" max="4" width="12.4609375" style="1" bestFit="1" customWidth="1"/>
    <col min="5" max="5" width="6.61328125" style="1" bestFit="1" customWidth="1"/>
    <col min="6" max="6" width="9.61328125" style="1" bestFit="1" customWidth="1"/>
    <col min="7" max="8" width="10.4609375" style="1" bestFit="1" customWidth="1"/>
    <col min="9" max="9" width="11" style="1" bestFit="1" customWidth="1"/>
    <col min="10" max="11" width="11.84375" style="1" bestFit="1" customWidth="1"/>
    <col min="12" max="12" width="16.3828125" style="1" bestFit="1" customWidth="1"/>
    <col min="13" max="13" width="12.4609375" style="1" bestFit="1" customWidth="1"/>
    <col min="14" max="14" width="9.4609375" style="1" bestFit="1" customWidth="1"/>
    <col min="15" max="15" width="8.3828125" style="1" bestFit="1" customWidth="1"/>
    <col min="16" max="17" width="10.4609375" style="1" bestFit="1" customWidth="1"/>
    <col min="18" max="19" width="11" style="1" bestFit="1" customWidth="1"/>
    <col min="20" max="20" width="11.4609375" style="1"/>
    <col min="21" max="21" width="16.3828125" style="1" bestFit="1" customWidth="1"/>
    <col min="22" max="22" width="12.4609375" style="1" bestFit="1" customWidth="1"/>
    <col min="23" max="23" width="6.61328125" style="1" bestFit="1" customWidth="1"/>
    <col min="24" max="24" width="8.3828125" style="1" bestFit="1" customWidth="1"/>
    <col min="25" max="26" width="10.4609375" style="1" bestFit="1" customWidth="1"/>
    <col min="27" max="28" width="11" style="1" bestFit="1" customWidth="1"/>
    <col min="29" max="16384" width="11.4609375" style="1"/>
  </cols>
  <sheetData>
    <row r="1" spans="1:28" ht="20.6">
      <c r="A1" s="199" t="s">
        <v>427</v>
      </c>
      <c r="B1" s="200">
        <f>+intercambio!B4</f>
        <v>43792</v>
      </c>
      <c r="C1" s="334" t="s">
        <v>552</v>
      </c>
      <c r="D1" s="334"/>
      <c r="E1" s="334"/>
      <c r="F1" s="334"/>
      <c r="G1" s="334"/>
      <c r="H1" s="334"/>
      <c r="I1" s="334"/>
      <c r="J1" s="334"/>
      <c r="L1" s="334" t="s">
        <v>556</v>
      </c>
      <c r="M1" s="334"/>
      <c r="N1" s="334"/>
      <c r="O1" s="334"/>
      <c r="P1" s="334"/>
      <c r="Q1" s="334"/>
      <c r="R1" s="334"/>
      <c r="S1" s="334"/>
      <c r="U1" s="334" t="s">
        <v>557</v>
      </c>
      <c r="V1" s="334"/>
      <c r="W1" s="334"/>
      <c r="X1" s="334"/>
      <c r="Y1" s="334"/>
      <c r="Z1" s="334"/>
      <c r="AA1" s="334"/>
      <c r="AB1" s="334"/>
    </row>
    <row r="2" spans="1:28">
      <c r="C2" s="184" t="s">
        <v>402</v>
      </c>
      <c r="D2" s="184" t="s">
        <v>107</v>
      </c>
      <c r="E2" s="184" t="s">
        <v>108</v>
      </c>
      <c r="F2" s="184" t="s">
        <v>109</v>
      </c>
      <c r="G2" s="184" t="s">
        <v>407</v>
      </c>
      <c r="H2" s="184" t="s">
        <v>409</v>
      </c>
      <c r="I2" s="184" t="s">
        <v>404</v>
      </c>
      <c r="J2" s="184" t="s">
        <v>302</v>
      </c>
      <c r="L2" s="184" t="s">
        <v>402</v>
      </c>
      <c r="M2" s="184" t="s">
        <v>107</v>
      </c>
      <c r="N2" s="184" t="s">
        <v>108</v>
      </c>
      <c r="O2" s="184" t="s">
        <v>109</v>
      </c>
      <c r="P2" s="184" t="s">
        <v>407</v>
      </c>
      <c r="Q2" s="184" t="s">
        <v>409</v>
      </c>
      <c r="R2" s="184" t="s">
        <v>404</v>
      </c>
      <c r="S2" s="184" t="s">
        <v>302</v>
      </c>
      <c r="U2" s="184" t="s">
        <v>402</v>
      </c>
      <c r="V2" s="184" t="s">
        <v>107</v>
      </c>
      <c r="W2" s="184" t="s">
        <v>108</v>
      </c>
      <c r="X2" s="184" t="s">
        <v>109</v>
      </c>
      <c r="Y2" s="184" t="s">
        <v>407</v>
      </c>
      <c r="Z2" s="184" t="s">
        <v>409</v>
      </c>
      <c r="AA2" s="184" t="s">
        <v>404</v>
      </c>
      <c r="AB2" s="184" t="s">
        <v>302</v>
      </c>
    </row>
    <row r="3" spans="1:28">
      <c r="A3" s="335" t="s">
        <v>553</v>
      </c>
      <c r="B3" s="335"/>
      <c r="C3" s="184" t="s">
        <v>116</v>
      </c>
      <c r="D3" s="184" t="str">
        <f ca="1">+OFFSET(bd_bonos!$A$1,MATCH($C3,bd_bonos!$A$1:$A$28,0)-1,11)</f>
        <v>12/08/2020</v>
      </c>
      <c r="E3" s="176">
        <f ca="1">+OFFSET(bd_bonos!$A$1,MATCH($C3,bd_bonos!$A$1:$A$28,0)-1,4)</f>
        <v>7.84</v>
      </c>
      <c r="F3" s="184" t="str">
        <f ca="1">+OFFSET(bd_bonos!$A$1,MATCH($C3,bd_bonos!$A$1:$A$28,0)-1,12)</f>
        <v>PEN</v>
      </c>
      <c r="G3" s="189">
        <f ca="1">+OFFSET(bd_historicas!$A$1,MATCH($C3,bd_historicas!$D$1:$D$157,0)+3,MATCH(G$2,bd_historicas!$D$4:$J$4,0)+2)/100</f>
        <v>2.5840000000000002E-2</v>
      </c>
      <c r="H3" s="189">
        <f ca="1">+OFFSET(bd_historicas!$A$1,MATCH($C3,bd_historicas!$D$1:$D$157,0)+3,MATCH(H$2,bd_historicas!$D$4:$J$4,0)+2)/100</f>
        <v>2.5080000000000002E-2</v>
      </c>
      <c r="I3" s="189">
        <f ca="1">+OFFSET(bd_historicas!$A$1,MATCH($C3,bd_historicas!$D$1:$D$157,0)+3,MATCH(I$2,bd_historicas!$D$4:$J$4,0)+2)/100</f>
        <v>2.545E-2</v>
      </c>
      <c r="J3" s="7">
        <f ca="1">+(D3-intercambio!$B$6)/365</f>
        <v>0.70410958904109588</v>
      </c>
      <c r="L3" s="184" t="s">
        <v>219</v>
      </c>
      <c r="M3" s="184" t="str">
        <f ca="1">+OFFSET(bd_bonos!$A$1,MATCH($L3,bd_bonos!$A$1:$A$28,0)-1,11)</f>
        <v>30/03/2019</v>
      </c>
      <c r="N3" s="176">
        <f ca="1">+OFFSET(bd_bonos!$A$1,MATCH($L3,bd_bonos!$A$1:$A$28,0)-1,4)</f>
        <v>7.125</v>
      </c>
      <c r="O3" s="184" t="str">
        <f ca="1">+OFFSET(bd_bonos!$A$1,MATCH($L3,bd_bonos!$A$1:$A$28,0)-1,12)</f>
        <v>USD</v>
      </c>
      <c r="P3" s="189">
        <f ca="1">+OFFSET(bd_historicas!$A$1,MATCH($L3,bd_historicas!$D$1:$D$157,0)+3,MATCH(P$2,bd_historicas!$D$4:$J$4,0)+2)/100</f>
        <v>0</v>
      </c>
      <c r="Q3" s="189">
        <f ca="1">+OFFSET(bd_historicas!$A$1,MATCH($L3,bd_historicas!$D$1:$D$157,0)+3,MATCH(Q$2,bd_historicas!$D$4:$J$4,0)+2)/100</f>
        <v>0</v>
      </c>
      <c r="R3" s="189">
        <f ca="1">+OFFSET(bd_historicas!$A$1,MATCH($L3,bd_historicas!$D$1:$D$157,0)+3,MATCH(R$2,bd_historicas!$D$4:$J$4,0)+2)/100</f>
        <v>0</v>
      </c>
      <c r="S3" s="7">
        <f ca="1">+(M3-intercambio!$B$6)/365</f>
        <v>-0.66849315068493154</v>
      </c>
      <c r="U3" s="184" t="s">
        <v>233</v>
      </c>
      <c r="V3" s="184" t="str">
        <f ca="1">+OFFSET(bd_bonos!$A$1,MATCH($U3,bd_bonos!$A$1:$A$28,0)-1,11)</f>
        <v>30/01/2026</v>
      </c>
      <c r="W3" s="176">
        <f ca="1">+OFFSET(bd_bonos!$A$1,MATCH($U3,bd_bonos!$A$1:$A$28,0)-1,4)</f>
        <v>2.75</v>
      </c>
      <c r="X3" s="184" t="str">
        <f ca="1">+OFFSET(bd_bonos!$A$1,MATCH($U3,bd_bonos!$A$1:$A$28,0)-1,12)</f>
        <v>EUR</v>
      </c>
      <c r="Y3" s="189">
        <f ca="1">+OFFSET(bd_historicas!$A$1,MATCH($U3,bd_historicas!$D$1:$D$157,0)+3,MATCH(Y$2,bd_historicas!$D$4:$J$4,0)+2)/100</f>
        <v>6.9799999999999992E-3</v>
      </c>
      <c r="Z3" s="189">
        <f ca="1">+OFFSET(bd_historicas!$A$1,MATCH($U3,bd_historicas!$D$1:$D$157,0)+3,MATCH(Z$2,bd_historicas!$D$4:$J$4,0)+2)/100</f>
        <v>6.3899999999999998E-3</v>
      </c>
      <c r="AA3" s="189">
        <f ca="1">+OFFSET(bd_historicas!$A$1,MATCH($U3,bd_historicas!$D$1:$D$157,0)+3,MATCH(AA$2,bd_historicas!$D$4:$J$4,0)+2)/100</f>
        <v>6.6800000000000002E-3</v>
      </c>
      <c r="AB3" s="7">
        <f ca="1">+(V3-intercambio!$B$6)/365</f>
        <v>6.1753424657534248</v>
      </c>
    </row>
    <row r="4" spans="1:28">
      <c r="A4" s="1" t="s">
        <v>554</v>
      </c>
      <c r="B4" s="1" t="s">
        <v>554</v>
      </c>
      <c r="C4" s="184" t="s">
        <v>117</v>
      </c>
      <c r="D4" s="184" t="str">
        <f ca="1">+OFFSET(bd_bonos!$A$1,MATCH($C4,bd_bonos!$A$1:$A$28,0)-1,11)</f>
        <v>12/09/2023</v>
      </c>
      <c r="E4" s="176">
        <f ca="1">+OFFSET(bd_bonos!$A$1,MATCH($C4,bd_bonos!$A$1:$A$28,0)-1,4)</f>
        <v>5.2</v>
      </c>
      <c r="F4" s="184" t="str">
        <f ca="1">+OFFSET(bd_bonos!$A$1,MATCH($C4,bd_bonos!$A$1:$A$28,0)-1,12)</f>
        <v>PEN</v>
      </c>
      <c r="G4" s="189">
        <f ca="1">+OFFSET(bd_historicas!$A$1,MATCH($C4,bd_historicas!$D$1:$D$157,0)+3,MATCH(G$2,bd_historicas!$D$4:$J$4,0)+2)/100</f>
        <v>3.3520000000000001E-2</v>
      </c>
      <c r="H4" s="189">
        <f ca="1">+OFFSET(bd_historicas!$A$1,MATCH($C4,bd_historicas!$D$1:$D$157,0)+3,MATCH(H$2,bd_historicas!$D$4:$J$4,0)+2)/100</f>
        <v>3.3309999999999999E-2</v>
      </c>
      <c r="I4" s="189">
        <f ca="1">+OFFSET(bd_historicas!$A$1,MATCH($C4,bd_historicas!$D$1:$D$157,0)+3,MATCH(I$2,bd_historicas!$D$4:$J$4,0)+2)/100</f>
        <v>3.3419999999999998E-2</v>
      </c>
      <c r="J4" s="7">
        <f ca="1">+(D4-intercambio!$B$6)/365</f>
        <v>3.7890410958904108</v>
      </c>
      <c r="L4" s="184" t="s">
        <v>227</v>
      </c>
      <c r="M4" s="184" t="str">
        <f ca="1">+OFFSET(bd_bonos!$A$1,MATCH($L4,bd_bonos!$A$1:$A$28,0)-1,11)</f>
        <v>21/07/2025</v>
      </c>
      <c r="N4" s="176">
        <f ca="1">+OFFSET(bd_bonos!$A$1,MATCH($L4,bd_bonos!$A$1:$A$28,0)-1,4)</f>
        <v>7.35</v>
      </c>
      <c r="O4" s="184" t="str">
        <f ca="1">+OFFSET(bd_bonos!$A$1,MATCH($L4,bd_bonos!$A$1:$A$28,0)-1,12)</f>
        <v>USD</v>
      </c>
      <c r="P4" s="189">
        <f ca="1">+OFFSET(bd_historicas!$A$1,MATCH($L4,bd_historicas!$D$1:$D$157,0)+3,MATCH(P$2,bd_historicas!$D$4:$J$4,0)+2)/100</f>
        <v>2.581E-2</v>
      </c>
      <c r="Q4" s="189">
        <f ca="1">+OFFSET(bd_historicas!$A$1,MATCH($L4,bd_historicas!$D$1:$D$157,0)+3,MATCH(Q$2,bd_historicas!$D$4:$J$4,0)+2)/100</f>
        <v>2.5239999999999999E-2</v>
      </c>
      <c r="R4" s="189">
        <f ca="1">+OFFSET(bd_historicas!$A$1,MATCH($L4,bd_historicas!$D$1:$D$157,0)+3,MATCH(R$2,bd_historicas!$D$4:$J$4,0)+2)/100</f>
        <v>2.5520000000000001E-2</v>
      </c>
      <c r="S4" s="7">
        <f ca="1">+(M4-intercambio!$B$6)/365</f>
        <v>5.646575342465753</v>
      </c>
      <c r="U4" s="184" t="s">
        <v>247</v>
      </c>
      <c r="V4" s="184" t="str">
        <f ca="1">+OFFSET(bd_bonos!$A$1,MATCH($U4,bd_bonos!$A$1:$A$28,0)-1,11)</f>
        <v>01/03/2030</v>
      </c>
      <c r="W4" s="176">
        <f ca="1">+OFFSET(bd_bonos!$A$1,MATCH($U4,bd_bonos!$A$1:$A$28,0)-1,4)</f>
        <v>3.75</v>
      </c>
      <c r="X4" s="184" t="str">
        <f ca="1">+OFFSET(bd_bonos!$A$1,MATCH($U4,bd_bonos!$A$1:$A$28,0)-1,12)</f>
        <v>EUR</v>
      </c>
      <c r="Y4" s="189">
        <f ca="1">+OFFSET(bd_historicas!$A$1,MATCH($U4,bd_historicas!$D$1:$D$157,0)+3,MATCH(Y$2,bd_historicas!$D$4:$J$4,0)+2)/100</f>
        <v>1.2699999999999999E-2</v>
      </c>
      <c r="Z4" s="189">
        <f ca="1">+OFFSET(bd_historicas!$A$1,MATCH($U4,bd_historicas!$D$1:$D$157,0)+3,MATCH(Z$2,bd_historicas!$D$4:$J$4,0)+2)/100</f>
        <v>1.209E-2</v>
      </c>
      <c r="AA4" s="189">
        <f ca="1">+OFFSET(bd_historicas!$A$1,MATCH($U4,bd_historicas!$D$1:$D$157,0)+3,MATCH(AA$2,bd_historicas!$D$4:$J$4,0)+2)/100</f>
        <v>1.24E-2</v>
      </c>
      <c r="AB4" s="7">
        <f ca="1">+(V4-intercambio!$B$6)/365</f>
        <v>10.260273972602739</v>
      </c>
    </row>
    <row r="5" spans="1:28">
      <c r="B5" s="1" t="s">
        <v>555</v>
      </c>
      <c r="C5" s="184" t="s">
        <v>118</v>
      </c>
      <c r="D5" s="184" t="str">
        <f ca="1">+OFFSET(bd_bonos!$A$1,MATCH($C5,bd_bonos!$A$1:$A$28,0)-1,11)</f>
        <v>12/08/2024</v>
      </c>
      <c r="E5" s="176">
        <f ca="1">+OFFSET(bd_bonos!$A$1,MATCH($C5,bd_bonos!$A$1:$A$28,0)-1,4)</f>
        <v>5.7</v>
      </c>
      <c r="F5" s="184" t="str">
        <f ca="1">+OFFSET(bd_bonos!$A$1,MATCH($C5,bd_bonos!$A$1:$A$28,0)-1,12)</f>
        <v>PEN</v>
      </c>
      <c r="G5" s="189">
        <f ca="1">+OFFSET(bd_historicas!$A$1,MATCH($C5,bd_historicas!$D$1:$D$157,0)+3,MATCH(G$2,bd_historicas!$D$4:$J$4,0)+2)/100</f>
        <v>3.6659999999999998E-2</v>
      </c>
      <c r="H5" s="189">
        <f ca="1">+OFFSET(bd_historicas!$A$1,MATCH($C5,bd_historicas!$D$1:$D$157,0)+3,MATCH(H$2,bd_historicas!$D$4:$J$4,0)+2)/100</f>
        <v>3.6490000000000002E-2</v>
      </c>
      <c r="I5" s="189">
        <f ca="1">+OFFSET(bd_historicas!$A$1,MATCH($C5,bd_historicas!$D$1:$D$157,0)+3,MATCH(I$2,bd_historicas!$D$4:$J$4,0)+2)/100</f>
        <v>3.6569999999999998E-2</v>
      </c>
      <c r="J5" s="7">
        <f ca="1">+(D5-intercambio!$B$6)/365</f>
        <v>4.7068493150684931</v>
      </c>
      <c r="L5" s="184" t="s">
        <v>242</v>
      </c>
      <c r="M5" s="184" t="str">
        <f ca="1">+OFFSET(bd_bonos!$A$1,MATCH($L5,bd_bonos!$A$1:$A$28,0)-1,11)</f>
        <v>25/08/2027</v>
      </c>
      <c r="N5" s="176">
        <f ca="1">+OFFSET(bd_bonos!$A$1,MATCH($L5,bd_bonos!$A$1:$A$28,0)-1,4)</f>
        <v>4.125</v>
      </c>
      <c r="O5" s="184" t="str">
        <f ca="1">+OFFSET(bd_bonos!$A$1,MATCH($L5,bd_bonos!$A$1:$A$28,0)-1,12)</f>
        <v>USD</v>
      </c>
      <c r="P5" s="189">
        <f ca="1">+OFFSET(bd_historicas!$A$1,MATCH($L5,bd_historicas!$D$1:$D$157,0)+3,MATCH(P$2,bd_historicas!$D$4:$J$4,0)+2)/100</f>
        <v>2.6459999999999997E-2</v>
      </c>
      <c r="Q5" s="189">
        <f ca="1">+OFFSET(bd_historicas!$A$1,MATCH($L5,bd_historicas!$D$1:$D$157,0)+3,MATCH(Q$2,bd_historicas!$D$4:$J$4,0)+2)/100</f>
        <v>2.6019999999999998E-2</v>
      </c>
      <c r="R5" s="189">
        <f ca="1">+OFFSET(bd_historicas!$A$1,MATCH($L5,bd_historicas!$D$1:$D$157,0)+3,MATCH(R$2,bd_historicas!$D$4:$J$4,0)+2)/100</f>
        <v>2.6239999999999999E-2</v>
      </c>
      <c r="S5" s="7">
        <f ca="1">+(M5-intercambio!$B$6)/365</f>
        <v>7.7424657534246579</v>
      </c>
    </row>
    <row r="6" spans="1:28">
      <c r="C6" s="184" t="s">
        <v>119</v>
      </c>
      <c r="D6" s="184" t="str">
        <f ca="1">+OFFSET(bd_bonos!$A$1,MATCH($C6,bd_bonos!$A$1:$A$28,0)-1,11)</f>
        <v>12/08/2026</v>
      </c>
      <c r="E6" s="176">
        <f ca="1">+OFFSET(bd_bonos!$A$1,MATCH($C6,bd_bonos!$A$1:$A$28,0)-1,4)</f>
        <v>8.1999999999999993</v>
      </c>
      <c r="F6" s="184" t="str">
        <f ca="1">+OFFSET(bd_bonos!$A$1,MATCH($C6,bd_bonos!$A$1:$A$28,0)-1,12)</f>
        <v>PEN</v>
      </c>
      <c r="G6" s="189">
        <f ca="1">+OFFSET(bd_historicas!$A$1,MATCH($C6,bd_historicas!$D$1:$D$157,0)+3,MATCH(G$2,bd_historicas!$D$4:$J$4,0)+2)/100</f>
        <v>4.2750000000000003E-2</v>
      </c>
      <c r="H6" s="189">
        <f ca="1">+OFFSET(bd_historicas!$A$1,MATCH($C6,bd_historicas!$D$1:$D$157,0)+3,MATCH(H$2,bd_historicas!$D$4:$J$4,0)+2)/100</f>
        <v>4.2599999999999999E-2</v>
      </c>
      <c r="I6" s="189">
        <f ca="1">+OFFSET(bd_historicas!$A$1,MATCH($C6,bd_historicas!$D$1:$D$157,0)+3,MATCH(I$2,bd_historicas!$D$4:$J$4,0)+2)/100</f>
        <v>4.2670000000000007E-2</v>
      </c>
      <c r="J6" s="7">
        <f ca="1">+(D6-intercambio!$B$6)/365</f>
        <v>6.7068493150684931</v>
      </c>
      <c r="L6" s="184" t="s">
        <v>252</v>
      </c>
      <c r="M6" s="184" t="str">
        <f ca="1">+OFFSET(bd_bonos!$A$1,MATCH($L6,bd_bonos!$A$1:$A$28,0)-1,11)</f>
        <v>21/11/2033</v>
      </c>
      <c r="N6" s="176">
        <f ca="1">+OFFSET(bd_bonos!$A$1,MATCH($L6,bd_bonos!$A$1:$A$28,0)-1,4)</f>
        <v>8.75</v>
      </c>
      <c r="O6" s="184" t="str">
        <f ca="1">+OFFSET(bd_bonos!$A$1,MATCH($L6,bd_bonos!$A$1:$A$28,0)-1,12)</f>
        <v>USD</v>
      </c>
      <c r="P6" s="189">
        <f ca="1">+OFFSET(bd_historicas!$A$1,MATCH($L6,bd_historicas!$D$1:$D$157,0)+3,MATCH(P$2,bd_historicas!$D$4:$J$4,0)+2)/100</f>
        <v>3.4630000000000001E-2</v>
      </c>
      <c r="Q6" s="189">
        <f ca="1">+OFFSET(bd_historicas!$A$1,MATCH($L6,bd_historicas!$D$1:$D$157,0)+3,MATCH(Q$2,bd_historicas!$D$4:$J$4,0)+2)/100</f>
        <v>3.4290000000000001E-2</v>
      </c>
      <c r="R6" s="189">
        <f ca="1">+OFFSET(bd_historicas!$A$1,MATCH($L6,bd_historicas!$D$1:$D$157,0)+3,MATCH(R$2,bd_historicas!$D$4:$J$4,0)+2)/100</f>
        <v>3.4460000000000005E-2</v>
      </c>
      <c r="S6" s="7">
        <f ca="1">+(M6-intercambio!$B$6)/365</f>
        <v>13.989041095890411</v>
      </c>
    </row>
    <row r="7" spans="1:28">
      <c r="C7" s="184" t="s">
        <v>120</v>
      </c>
      <c r="D7" s="184" t="str">
        <f ca="1">+OFFSET(bd_bonos!$A$1,MATCH($C7,bd_bonos!$A$1:$A$28,0)-1,11)</f>
        <v>12/08/2028</v>
      </c>
      <c r="E7" s="176">
        <f ca="1">+OFFSET(bd_bonos!$A$1,MATCH($C7,bd_bonos!$A$1:$A$28,0)-1,4)</f>
        <v>6.35</v>
      </c>
      <c r="F7" s="184" t="str">
        <f ca="1">+OFFSET(bd_bonos!$A$1,MATCH($C7,bd_bonos!$A$1:$A$28,0)-1,12)</f>
        <v>PEN</v>
      </c>
      <c r="G7" s="189">
        <f ca="1">+OFFSET(bd_historicas!$A$1,MATCH($C7,bd_historicas!$D$1:$D$157,0)+3,MATCH(G$2,bd_historicas!$D$4:$J$4,0)+2)/100</f>
        <v>4.7500000000000001E-2</v>
      </c>
      <c r="H7" s="189">
        <f ca="1">+OFFSET(bd_historicas!$A$1,MATCH($C7,bd_historicas!$D$1:$D$157,0)+3,MATCH(H$2,bd_historicas!$D$4:$J$4,0)+2)/100</f>
        <v>4.7289999999999999E-2</v>
      </c>
      <c r="I7" s="189">
        <f ca="1">+OFFSET(bd_historicas!$A$1,MATCH($C7,bd_historicas!$D$1:$D$157,0)+3,MATCH(I$2,bd_historicas!$D$4:$J$4,0)+2)/100</f>
        <v>4.7400000000000005E-2</v>
      </c>
      <c r="J7" s="7">
        <f ca="1">+(D7-intercambio!$B$6)/365</f>
        <v>8.7095890410958905</v>
      </c>
      <c r="L7" s="184" t="s">
        <v>258</v>
      </c>
      <c r="M7" s="184" t="str">
        <f ca="1">+OFFSET(bd_bonos!$A$1,MATCH($L7,bd_bonos!$A$1:$A$28,0)-1,11)</f>
        <v>14/03/2037</v>
      </c>
      <c r="N7" s="176">
        <f ca="1">+OFFSET(bd_bonos!$A$1,MATCH($L7,bd_bonos!$A$1:$A$28,0)-1,4)</f>
        <v>6.55</v>
      </c>
      <c r="O7" s="184" t="str">
        <f ca="1">+OFFSET(bd_bonos!$A$1,MATCH($L7,bd_bonos!$A$1:$A$28,0)-1,12)</f>
        <v>USD</v>
      </c>
      <c r="P7" s="189">
        <f ca="1">+OFFSET(bd_historicas!$A$1,MATCH($L7,bd_historicas!$D$1:$D$157,0)+3,MATCH(P$2,bd_historicas!$D$4:$J$4,0)+2)/100</f>
        <v>3.5439999999999999E-2</v>
      </c>
      <c r="Q7" s="189">
        <f ca="1">+OFFSET(bd_historicas!$A$1,MATCH($L7,bd_historicas!$D$1:$D$157,0)+3,MATCH(Q$2,bd_historicas!$D$4:$J$4,0)+2)/100</f>
        <v>3.5119999999999998E-2</v>
      </c>
      <c r="R7" s="189">
        <f ca="1">+OFFSET(bd_historicas!$A$1,MATCH($L7,bd_historicas!$D$1:$D$157,0)+3,MATCH(R$2,bd_historicas!$D$4:$J$4,0)+2)/100</f>
        <v>3.5279999999999999E-2</v>
      </c>
      <c r="S7" s="7">
        <f ca="1">+(M7-intercambio!$B$6)/365</f>
        <v>17.301369863013697</v>
      </c>
    </row>
    <row r="8" spans="1:28">
      <c r="C8" s="184" t="s">
        <v>127</v>
      </c>
      <c r="D8" s="184" t="str">
        <f ca="1">+OFFSET(bd_bonos!$A$1,MATCH($C8,bd_bonos!$A$1:$A$28,0)-1,11)</f>
        <v>12/02/2029</v>
      </c>
      <c r="E8" s="176">
        <f ca="1">+OFFSET(bd_bonos!$A$1,MATCH($C8,bd_bonos!$A$1:$A$28,0)-1,4)</f>
        <v>5.94</v>
      </c>
      <c r="F8" s="184" t="str">
        <f ca="1">+OFFSET(bd_bonos!$A$1,MATCH($C8,bd_bonos!$A$1:$A$28,0)-1,12)</f>
        <v>PEN</v>
      </c>
      <c r="G8" s="189">
        <f ca="1">+OFFSET(bd_historicas!$A$1,MATCH($C8,bd_historicas!$D$1:$D$157,0)+3,MATCH(G$2,bd_historicas!$D$4:$J$4,0)+2)/100</f>
        <v>4.9480000000000003E-2</v>
      </c>
      <c r="H8" s="189">
        <f ca="1">+OFFSET(bd_historicas!$A$1,MATCH($C8,bd_historicas!$D$1:$D$157,0)+3,MATCH(H$2,bd_historicas!$D$4:$J$4,0)+2)/100</f>
        <v>4.9259999999999998E-2</v>
      </c>
      <c r="I8" s="189">
        <f ca="1">+OFFSET(bd_historicas!$A$1,MATCH($C8,bd_historicas!$D$1:$D$157,0)+3,MATCH(I$2,bd_historicas!$D$4:$J$4,0)+2)/100</f>
        <v>4.9370000000000004E-2</v>
      </c>
      <c r="J8" s="7">
        <f ca="1">+(D8-intercambio!$B$6)/365</f>
        <v>9.213698630136987</v>
      </c>
      <c r="L8" s="184" t="s">
        <v>263</v>
      </c>
      <c r="M8" s="184" t="str">
        <f ca="1">+OFFSET(bd_bonos!$A$1,MATCH($L8,bd_bonos!$A$1:$A$28,0)-1,11)</f>
        <v>18/11/2050</v>
      </c>
      <c r="N8" s="176">
        <f ca="1">+OFFSET(bd_bonos!$A$1,MATCH($L8,bd_bonos!$A$1:$A$28,0)-1,4)</f>
        <v>5.625</v>
      </c>
      <c r="O8" s="184" t="str">
        <f ca="1">+OFFSET(bd_bonos!$A$1,MATCH($L8,bd_bonos!$A$1:$A$28,0)-1,12)</f>
        <v>USD</v>
      </c>
      <c r="P8" s="189">
        <f ca="1">+OFFSET(bd_historicas!$A$1,MATCH($L8,bd_historicas!$D$1:$D$157,0)+3,MATCH(P$2,bd_historicas!$D$4:$J$4,0)+2)/100</f>
        <v>3.7290000000000004E-2</v>
      </c>
      <c r="Q8" s="189">
        <f ca="1">+OFFSET(bd_historicas!$A$1,MATCH($L8,bd_historicas!$D$1:$D$157,0)+3,MATCH(Q$2,bd_historicas!$D$4:$J$4,0)+2)/100</f>
        <v>3.7039999999999997E-2</v>
      </c>
      <c r="R8" s="189">
        <f ca="1">+OFFSET(bd_historicas!$A$1,MATCH($L8,bd_historicas!$D$1:$D$157,0)+3,MATCH(R$2,bd_historicas!$D$4:$J$4,0)+2)/100</f>
        <v>3.7170000000000002E-2</v>
      </c>
      <c r="S8" s="7">
        <f ca="1">+(M8-intercambio!$B$6)/365</f>
        <v>30.991780821917807</v>
      </c>
    </row>
    <row r="9" spans="1:28">
      <c r="C9" s="184" t="s">
        <v>122</v>
      </c>
      <c r="D9" s="184" t="str">
        <f ca="1">+OFFSET(bd_bonos!$A$1,MATCH($C9,bd_bonos!$A$1:$A$28,0)-1,11)</f>
        <v>12/08/2031</v>
      </c>
      <c r="E9" s="176">
        <f ca="1">+OFFSET(bd_bonos!$A$1,MATCH($C9,bd_bonos!$A$1:$A$28,0)-1,4)</f>
        <v>6.95</v>
      </c>
      <c r="F9" s="184" t="str">
        <f ca="1">+OFFSET(bd_bonos!$A$1,MATCH($C9,bd_bonos!$A$1:$A$28,0)-1,12)</f>
        <v>PEN</v>
      </c>
      <c r="G9" s="189">
        <f ca="1">+OFFSET(bd_historicas!$A$1,MATCH($C9,bd_historicas!$D$1:$D$157,0)+3,MATCH(G$2,bd_historicas!$D$4:$J$4,0)+2)/100</f>
        <v>5.2049999999999999E-2</v>
      </c>
      <c r="H9" s="189">
        <f ca="1">+OFFSET(bd_historicas!$A$1,MATCH($C9,bd_historicas!$D$1:$D$157,0)+3,MATCH(H$2,bd_historicas!$D$4:$J$4,0)+2)/100</f>
        <v>5.1830000000000001E-2</v>
      </c>
      <c r="I9" s="189">
        <f ca="1">+OFFSET(bd_historicas!$A$1,MATCH($C9,bd_historicas!$D$1:$D$157,0)+3,MATCH(I$2,bd_historicas!$D$4:$J$4,0)+2)/100</f>
        <v>5.194E-2</v>
      </c>
      <c r="J9" s="7">
        <f ca="1">+(D9-intercambio!$B$6)/365</f>
        <v>11.70958904109589</v>
      </c>
      <c r="L9" s="184"/>
      <c r="M9" s="184"/>
      <c r="N9" s="176"/>
      <c r="O9" s="184"/>
      <c r="P9" s="189"/>
      <c r="Q9" s="189"/>
      <c r="R9" s="189"/>
      <c r="S9" s="7"/>
    </row>
    <row r="10" spans="1:28">
      <c r="C10" s="184" t="s">
        <v>123</v>
      </c>
      <c r="D10" s="184" t="str">
        <f ca="1">+OFFSET(bd_bonos!$A$1,MATCH($C10,bd_bonos!$A$1:$A$28,0)-1,11)</f>
        <v>12/08/2032</v>
      </c>
      <c r="E10" s="176">
        <f ca="1">+OFFSET(bd_bonos!$A$1,MATCH($C10,bd_bonos!$A$1:$A$28,0)-1,4)</f>
        <v>6.15</v>
      </c>
      <c r="F10" s="184" t="str">
        <f ca="1">+OFFSET(bd_bonos!$A$1,MATCH($C10,bd_bonos!$A$1:$A$28,0)-1,12)</f>
        <v>PEN</v>
      </c>
      <c r="G10" s="189">
        <f ca="1">+OFFSET(bd_historicas!$A$1,MATCH($C10,bd_historicas!$D$1:$D$157,0)+3,MATCH(G$2,bd_historicas!$D$4:$J$4,0)+2)/100</f>
        <v>5.3040000000000004E-2</v>
      </c>
      <c r="H10" s="189">
        <f ca="1">+OFFSET(bd_historicas!$A$1,MATCH($C10,bd_historicas!$D$1:$D$157,0)+3,MATCH(H$2,bd_historicas!$D$4:$J$4,0)+2)/100</f>
        <v>5.2740000000000002E-2</v>
      </c>
      <c r="I10" s="189">
        <f ca="1">+OFFSET(bd_historicas!$A$1,MATCH($C10,bd_historicas!$D$1:$D$157,0)+3,MATCH(I$2,bd_historicas!$D$4:$J$4,0)+2)/100</f>
        <v>5.289E-2</v>
      </c>
      <c r="J10" s="7">
        <f ca="1">+(D10-intercambio!$B$6)/365</f>
        <v>12.712328767123287</v>
      </c>
    </row>
    <row r="11" spans="1:28">
      <c r="C11" s="184" t="s">
        <v>124</v>
      </c>
      <c r="D11" s="184" t="str">
        <f ca="1">+OFFSET(bd_bonos!$A$1,MATCH($C11,bd_bonos!$A$1:$A$28,0)-1,11)</f>
        <v>12/08/2037</v>
      </c>
      <c r="E11" s="176">
        <f ca="1">+OFFSET(bd_bonos!$A$1,MATCH($C11,bd_bonos!$A$1:$A$28,0)-1,4)</f>
        <v>6.9</v>
      </c>
      <c r="F11" s="184" t="str">
        <f ca="1">+OFFSET(bd_bonos!$A$1,MATCH($C11,bd_bonos!$A$1:$A$28,0)-1,12)</f>
        <v>PEN</v>
      </c>
      <c r="G11" s="189">
        <f ca="1">+OFFSET(bd_historicas!$A$1,MATCH($C11,bd_historicas!$D$1:$D$157,0)+3,MATCH(G$2,bd_historicas!$D$4:$J$4,0)+2)/100</f>
        <v>5.57E-2</v>
      </c>
      <c r="H11" s="189">
        <f ca="1">+OFFSET(bd_historicas!$A$1,MATCH($C11,bd_historicas!$D$1:$D$157,0)+3,MATCH(H$2,bd_historicas!$D$4:$J$4,0)+2)/100</f>
        <v>5.5410000000000001E-2</v>
      </c>
      <c r="I11" s="189">
        <f ca="1">+OFFSET(bd_historicas!$A$1,MATCH($C11,bd_historicas!$D$1:$D$157,0)+3,MATCH(I$2,bd_historicas!$D$4:$J$4,0)+2)/100</f>
        <v>5.5559999999999998E-2</v>
      </c>
      <c r="J11" s="7">
        <f ca="1">+(D11-intercambio!$B$6)/365</f>
        <v>17.715068493150685</v>
      </c>
    </row>
    <row r="12" spans="1:28">
      <c r="C12" s="184" t="s">
        <v>125</v>
      </c>
      <c r="D12" s="184" t="str">
        <f ca="1">+OFFSET(bd_bonos!$A$1,MATCH($C12,bd_bonos!$A$1:$A$28,0)-1,11)</f>
        <v>12/02/2042</v>
      </c>
      <c r="E12" s="176">
        <f ca="1">+OFFSET(bd_bonos!$A$1,MATCH($C12,bd_bonos!$A$1:$A$28,0)-1,4)</f>
        <v>6.85</v>
      </c>
      <c r="F12" s="184" t="str">
        <f ca="1">+OFFSET(bd_bonos!$A$1,MATCH($C12,bd_bonos!$A$1:$A$28,0)-1,12)</f>
        <v>PEN</v>
      </c>
      <c r="G12" s="189">
        <f ca="1">+OFFSET(bd_historicas!$A$1,MATCH($C12,bd_historicas!$D$1:$D$157,0)+3,MATCH(G$2,bd_historicas!$D$4:$J$4,0)+2)/100</f>
        <v>5.7670000000000006E-2</v>
      </c>
      <c r="H12" s="189">
        <f ca="1">+OFFSET(bd_historicas!$A$1,MATCH($C12,bd_historicas!$D$1:$D$157,0)+3,MATCH(H$2,bd_historicas!$D$4:$J$4,0)+2)/100</f>
        <v>5.7050000000000003E-2</v>
      </c>
      <c r="I12" s="189">
        <f ca="1">+OFFSET(bd_historicas!$A$1,MATCH($C12,bd_historicas!$D$1:$D$157,0)+3,MATCH(I$2,bd_historicas!$D$4:$J$4,0)+2)/100</f>
        <v>5.7359999999999994E-2</v>
      </c>
      <c r="J12" s="7">
        <f ca="1">+(D12-intercambio!$B$6)/365</f>
        <v>22.221917808219178</v>
      </c>
    </row>
    <row r="13" spans="1:28">
      <c r="C13" s="184" t="s">
        <v>126</v>
      </c>
      <c r="D13" s="184" t="str">
        <f ca="1">+OFFSET(bd_bonos!$A$1,MATCH($C13,bd_bonos!$A$1:$A$28,0)-1,11)</f>
        <v>12/02/2055</v>
      </c>
      <c r="E13" s="176">
        <f ca="1">+OFFSET(bd_bonos!$A$1,MATCH($C13,bd_bonos!$A$1:$A$28,0)-1,4)</f>
        <v>6.7141999999999999</v>
      </c>
      <c r="F13" s="184" t="str">
        <f ca="1">+OFFSET(bd_bonos!$A$1,MATCH($C13,bd_bonos!$A$1:$A$28,0)-1,12)</f>
        <v>PEN</v>
      </c>
      <c r="G13" s="189">
        <f ca="1">+OFFSET(bd_historicas!$A$1,MATCH($C13,bd_historicas!$D$1:$D$157,0)+3,MATCH(G$2,bd_historicas!$D$4:$J$4,0)+2)/100</f>
        <v>5.849E-2</v>
      </c>
      <c r="H13" s="189">
        <f ca="1">+OFFSET(bd_historicas!$A$1,MATCH($C13,bd_historicas!$D$1:$D$157,0)+3,MATCH(H$2,bd_historicas!$D$4:$J$4,0)+2)/100</f>
        <v>5.7980000000000004E-2</v>
      </c>
      <c r="I13" s="189">
        <f ca="1">+OFFSET(bd_historicas!$A$1,MATCH($C13,bd_historicas!$D$1:$D$157,0)+3,MATCH(I$2,bd_historicas!$D$4:$J$4,0)+2)/100</f>
        <v>5.824E-2</v>
      </c>
      <c r="J13" s="7">
        <f ca="1">+(D13-intercambio!$B$6)/365</f>
        <v>35.230136986301368</v>
      </c>
    </row>
    <row r="14" spans="1:28">
      <c r="J14" s="184"/>
    </row>
    <row r="15" spans="1:28">
      <c r="J15" s="190"/>
      <c r="K15" s="184"/>
    </row>
    <row r="16" spans="1:28">
      <c r="C16" s="35"/>
      <c r="D16" s="35"/>
      <c r="E16" s="35"/>
      <c r="F16" s="35"/>
      <c r="G16" s="35"/>
      <c r="H16" s="35"/>
      <c r="I16" s="35"/>
      <c r="J16" s="190"/>
    </row>
    <row r="17" spans="3:14">
      <c r="C17" s="35"/>
      <c r="D17" s="35"/>
      <c r="E17" s="35"/>
      <c r="F17" s="35"/>
      <c r="G17" s="35"/>
      <c r="H17" s="35"/>
      <c r="J17" s="190"/>
      <c r="K17" s="35"/>
      <c r="L17" s="35"/>
      <c r="M17" s="35"/>
      <c r="N17" s="35"/>
    </row>
    <row r="18" spans="3:14">
      <c r="C18" s="35"/>
      <c r="D18" s="35"/>
      <c r="E18" s="35"/>
      <c r="F18" s="35"/>
      <c r="G18" s="35"/>
      <c r="H18" s="35"/>
      <c r="I18" s="35"/>
      <c r="J18" s="190"/>
      <c r="K18" s="35"/>
      <c r="L18" s="35"/>
      <c r="M18" s="35"/>
      <c r="N18" s="35"/>
    </row>
    <row r="19" spans="3:14"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</row>
    <row r="20" spans="3:14"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</row>
    <row r="21" spans="3:14"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</row>
    <row r="22" spans="3:14">
      <c r="C22" s="35"/>
      <c r="D22" s="88"/>
      <c r="E22" s="88"/>
      <c r="F22" s="88"/>
      <c r="G22" s="191"/>
      <c r="H22" s="192"/>
      <c r="I22" s="191"/>
      <c r="J22" s="192"/>
      <c r="K22" s="35"/>
      <c r="L22" s="35"/>
      <c r="M22" s="35"/>
      <c r="N22" s="35"/>
    </row>
    <row r="23" spans="3:14">
      <c r="C23" s="35"/>
      <c r="D23" s="88"/>
      <c r="E23" s="88"/>
      <c r="F23" s="72"/>
      <c r="G23" s="195"/>
      <c r="H23" s="196"/>
      <c r="I23" s="195"/>
      <c r="J23" s="196"/>
      <c r="K23" s="193"/>
      <c r="L23" s="194"/>
      <c r="M23" s="191"/>
      <c r="N23" s="194"/>
    </row>
    <row r="24" spans="3:14">
      <c r="C24" s="35"/>
      <c r="D24" s="35"/>
      <c r="E24" s="35"/>
      <c r="F24" s="35"/>
      <c r="G24" s="35"/>
      <c r="H24" s="35"/>
      <c r="I24" s="35"/>
      <c r="J24" s="35"/>
      <c r="K24" s="197"/>
      <c r="L24" s="198"/>
      <c r="M24" s="195"/>
      <c r="N24" s="198"/>
    </row>
    <row r="25" spans="3:14"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3:14"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</row>
    <row r="27" spans="3:14"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</row>
    <row r="28" spans="3:14"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</row>
    <row r="29" spans="3:14"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</row>
    <row r="30" spans="3:14"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3:14"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3:14"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3:14"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3:14">
      <c r="K34" s="35"/>
      <c r="L34" s="35"/>
      <c r="M34" s="35"/>
      <c r="N34" s="35"/>
    </row>
  </sheetData>
  <mergeCells count="4">
    <mergeCell ref="C1:J1"/>
    <mergeCell ref="A3:B3"/>
    <mergeCell ref="L1:S1"/>
    <mergeCell ref="U1:AB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9">
    <tabColor theme="1"/>
  </sheetPr>
  <dimension ref="A1:L12"/>
  <sheetViews>
    <sheetView workbookViewId="0">
      <selection activeCell="C3" sqref="C3:D3"/>
    </sheetView>
  </sheetViews>
  <sheetFormatPr defaultColWidth="11.4609375" defaultRowHeight="14.6"/>
  <cols>
    <col min="1" max="1" width="11.4609375" style="233"/>
    <col min="2" max="2" width="19.84375" style="1" bestFit="1" customWidth="1"/>
    <col min="3" max="3" width="12.4609375" style="233" bestFit="1" customWidth="1"/>
    <col min="4" max="4" width="7.15234375" style="233" bestFit="1" customWidth="1"/>
    <col min="5" max="5" width="8.3828125" style="233" bestFit="1" customWidth="1"/>
    <col min="6" max="7" width="10.4609375" style="233" bestFit="1" customWidth="1"/>
    <col min="8" max="8" width="11" style="233" bestFit="1" customWidth="1"/>
    <col min="9" max="10" width="8.15234375" style="233" bestFit="1" customWidth="1"/>
    <col min="11" max="11" width="8.61328125" style="233" bestFit="1" customWidth="1"/>
    <col min="12" max="12" width="11.4609375" style="233" bestFit="1" customWidth="1"/>
    <col min="13" max="16384" width="11.4609375" style="1"/>
  </cols>
  <sheetData>
    <row r="1" spans="1:12">
      <c r="A1" s="173" t="s">
        <v>616</v>
      </c>
      <c r="B1" s="233" t="s">
        <v>402</v>
      </c>
      <c r="C1" s="7" t="s">
        <v>107</v>
      </c>
      <c r="D1" s="233" t="s">
        <v>108</v>
      </c>
      <c r="E1" s="233" t="s">
        <v>109</v>
      </c>
      <c r="F1" s="233" t="s">
        <v>621</v>
      </c>
      <c r="G1" s="233" t="s">
        <v>622</v>
      </c>
      <c r="H1" s="233" t="s">
        <v>623</v>
      </c>
      <c r="I1" s="233" t="s">
        <v>624</v>
      </c>
      <c r="J1" s="233" t="s">
        <v>625</v>
      </c>
      <c r="K1" s="233" t="s">
        <v>626</v>
      </c>
      <c r="L1" s="233" t="s">
        <v>302</v>
      </c>
    </row>
    <row r="2" spans="1:12">
      <c r="A2" s="238">
        <f>intercambio!$B$6</f>
        <v>43798</v>
      </c>
      <c r="B2" s="233" t="s">
        <v>116</v>
      </c>
      <c r="C2" s="233" t="str">
        <f ca="1">OFFSET(bond_calc!$A$1,MATCH(sov_bond!$B2,bond_calc!$A:$A,0)-1,1)</f>
        <v>12/08/2020</v>
      </c>
      <c r="D2" s="189">
        <f ca="1">OFFSET(bond_calc!$A$1,MATCH(sov_bond!$B2,bond_calc!$A:$A,0)-1,2)</f>
        <v>7.8399999999999997E-2</v>
      </c>
      <c r="E2" s="233" t="str">
        <f ca="1">OFFSET(bond_calc!$A$1,MATCH(sov_bond!$B2,bond_calc!$A:$A,0)-1,3)</f>
        <v>PEN</v>
      </c>
      <c r="F2" s="189">
        <f ca="1">OFFSET(bond_calc!$A$1,MATCH(sov_bond!$B2,bond_calc!$A:$A,0)-1,4)</f>
        <v>2.5840000000000002E-2</v>
      </c>
      <c r="G2" s="189">
        <f ca="1">OFFSET(bond_calc!$A$1,MATCH(sov_bond!$B2,bond_calc!$A:$A,0)-1,5)</f>
        <v>2.5080000000000002E-2</v>
      </c>
      <c r="H2" s="189">
        <f ca="1">OFFSET(bond_calc!$A$1,MATCH(sov_bond!$B2,bond_calc!$A:$A,0)-1,6)</f>
        <v>2.545E-2</v>
      </c>
      <c r="I2" s="176">
        <f ca="1">OFFSET(bond_calc!$A$1,MATCH(sov_bond!$B2,bond_calc!$A:$A,0)-1,7)</f>
        <v>105.896</v>
      </c>
      <c r="J2" s="176">
        <f ca="1">OFFSET(bond_calc!$A$1,MATCH(sov_bond!$B2,bond_calc!$A:$A,0)-1,8)</f>
        <v>105.985</v>
      </c>
      <c r="K2" s="176">
        <f ca="1">OFFSET(bond_calc!$A$1,MATCH(sov_bond!$B2,bond_calc!$A:$A,0)-1,9)</f>
        <v>105.941</v>
      </c>
      <c r="L2" s="7">
        <f t="shared" ref="L2:L12" ca="1" si="0">(C2-$A$2)/365</f>
        <v>0.70410958904109588</v>
      </c>
    </row>
    <row r="3" spans="1:12">
      <c r="B3" s="233" t="s">
        <v>117</v>
      </c>
      <c r="C3" s="233" t="str">
        <f ca="1">OFFSET(bond_calc!$A$1,MATCH(sov_bond!$B3,bond_calc!$A:$A,0)-1,1)</f>
        <v>12/09/2023</v>
      </c>
      <c r="D3" s="189">
        <f ca="1">OFFSET(bond_calc!$A$1,MATCH(sov_bond!$B3,bond_calc!$A:$A,0)-1,2)</f>
        <v>5.2000000000000005E-2</v>
      </c>
      <c r="E3" s="233" t="str">
        <f ca="1">OFFSET(bond_calc!$A$1,MATCH(sov_bond!$B3,bond_calc!$A:$A,0)-1,3)</f>
        <v>PEN</v>
      </c>
      <c r="F3" s="189">
        <f ca="1">OFFSET(bond_calc!$A$1,MATCH(sov_bond!$B3,bond_calc!$A:$A,0)-1,4)</f>
        <v>3.3520000000000001E-2</v>
      </c>
      <c r="G3" s="189">
        <f ca="1">OFFSET(bond_calc!$A$1,MATCH(sov_bond!$B3,bond_calc!$A:$A,0)-1,5)</f>
        <v>3.3309999999999999E-2</v>
      </c>
      <c r="H3" s="189">
        <f ca="1">OFFSET(bond_calc!$A$1,MATCH(sov_bond!$B3,bond_calc!$A:$A,0)-1,6)</f>
        <v>3.3419999999999998E-2</v>
      </c>
      <c r="I3" s="176">
        <f ca="1">OFFSET(bond_calc!$A$1,MATCH(sov_bond!$B3,bond_calc!$A:$A,0)-1,7)</f>
        <v>107.14</v>
      </c>
      <c r="J3" s="176">
        <f ca="1">OFFSET(bond_calc!$A$1,MATCH(sov_bond!$B3,bond_calc!$A:$A,0)-1,8)</f>
        <v>107.224</v>
      </c>
      <c r="K3" s="176">
        <f ca="1">OFFSET(bond_calc!$A$1,MATCH(sov_bond!$B3,bond_calc!$A:$A,0)-1,9)</f>
        <v>107.182</v>
      </c>
      <c r="L3" s="7">
        <f t="shared" ca="1" si="0"/>
        <v>3.7890410958904108</v>
      </c>
    </row>
    <row r="4" spans="1:12">
      <c r="B4" s="233" t="s">
        <v>118</v>
      </c>
      <c r="C4" s="233" t="str">
        <f ca="1">OFFSET(bond_calc!$A$1,MATCH(sov_bond!$B4,bond_calc!$A:$A,0)-1,1)</f>
        <v>12/08/2024</v>
      </c>
      <c r="D4" s="189">
        <f ca="1">OFFSET(bond_calc!$A$1,MATCH(sov_bond!$B4,bond_calc!$A:$A,0)-1,2)</f>
        <v>5.7000000000000002E-2</v>
      </c>
      <c r="E4" s="233" t="str">
        <f ca="1">OFFSET(bond_calc!$A$1,MATCH(sov_bond!$B4,bond_calc!$A:$A,0)-1,3)</f>
        <v>PEN</v>
      </c>
      <c r="F4" s="189">
        <f ca="1">OFFSET(bond_calc!$A$1,MATCH(sov_bond!$B4,bond_calc!$A:$A,0)-1,4)</f>
        <v>3.6659999999999998E-2</v>
      </c>
      <c r="G4" s="189">
        <f ca="1">OFFSET(bond_calc!$A$1,MATCH(sov_bond!$B4,bond_calc!$A:$A,0)-1,5)</f>
        <v>3.6490000000000002E-2</v>
      </c>
      <c r="H4" s="189">
        <f ca="1">OFFSET(bond_calc!$A$1,MATCH(sov_bond!$B4,bond_calc!$A:$A,0)-1,6)</f>
        <v>3.6569999999999998E-2</v>
      </c>
      <c r="I4" s="176">
        <f ca="1">OFFSET(bond_calc!$A$1,MATCH(sov_bond!$B4,bond_calc!$A:$A,0)-1,7)</f>
        <v>109.363</v>
      </c>
      <c r="J4" s="176">
        <f ca="1">OFFSET(bond_calc!$A$1,MATCH(sov_bond!$B4,bond_calc!$A:$A,0)-1,8)</f>
        <v>109.446</v>
      </c>
      <c r="K4" s="176">
        <f ca="1">OFFSET(bond_calc!$A$1,MATCH(sov_bond!$B4,bond_calc!$A:$A,0)-1,9)</f>
        <v>109.405</v>
      </c>
      <c r="L4" s="7">
        <f t="shared" ca="1" si="0"/>
        <v>4.7068493150684931</v>
      </c>
    </row>
    <row r="5" spans="1:12">
      <c r="B5" s="233" t="s">
        <v>119</v>
      </c>
      <c r="C5" s="233" t="str">
        <f ca="1">OFFSET(bond_calc!$A$1,MATCH(sov_bond!$B5,bond_calc!$A:$A,0)-1,1)</f>
        <v>12/08/2026</v>
      </c>
      <c r="D5" s="189">
        <f ca="1">OFFSET(bond_calc!$A$1,MATCH(sov_bond!$B5,bond_calc!$A:$A,0)-1,2)</f>
        <v>8.199999999999999E-2</v>
      </c>
      <c r="E5" s="233" t="str">
        <f ca="1">OFFSET(bond_calc!$A$1,MATCH(sov_bond!$B5,bond_calc!$A:$A,0)-1,3)</f>
        <v>PEN</v>
      </c>
      <c r="F5" s="189">
        <f ca="1">OFFSET(bond_calc!$A$1,MATCH(sov_bond!$B5,bond_calc!$A:$A,0)-1,4)</f>
        <v>4.2750000000000003E-2</v>
      </c>
      <c r="G5" s="189">
        <f ca="1">OFFSET(bond_calc!$A$1,MATCH(sov_bond!$B5,bond_calc!$A:$A,0)-1,5)</f>
        <v>4.2599999999999999E-2</v>
      </c>
      <c r="H5" s="189">
        <f ca="1">OFFSET(bond_calc!$A$1,MATCH(sov_bond!$B5,bond_calc!$A:$A,0)-1,6)</f>
        <v>4.2670000000000007E-2</v>
      </c>
      <c r="I5" s="176">
        <f ca="1">OFFSET(bond_calc!$A$1,MATCH(sov_bond!$B5,bond_calc!$A:$A,0)-1,7)</f>
        <v>123.834</v>
      </c>
      <c r="J5" s="176">
        <f ca="1">OFFSET(bond_calc!$A$1,MATCH(sov_bond!$B5,bond_calc!$A:$A,0)-1,8)</f>
        <v>123.93899999999999</v>
      </c>
      <c r="K5" s="176">
        <f ca="1">OFFSET(bond_calc!$A$1,MATCH(sov_bond!$B5,bond_calc!$A:$A,0)-1,9)</f>
        <v>123.887</v>
      </c>
      <c r="L5" s="7">
        <f t="shared" ca="1" si="0"/>
        <v>6.7068493150684931</v>
      </c>
    </row>
    <row r="6" spans="1:12">
      <c r="B6" s="233" t="s">
        <v>120</v>
      </c>
      <c r="C6" s="233" t="str">
        <f ca="1">OFFSET(bond_calc!$A$1,MATCH(sov_bond!$B6,bond_calc!$A:$A,0)-1,1)</f>
        <v>12/08/2028</v>
      </c>
      <c r="D6" s="189">
        <f ca="1">OFFSET(bond_calc!$A$1,MATCH(sov_bond!$B6,bond_calc!$A:$A,0)-1,2)</f>
        <v>6.3500000000000001E-2</v>
      </c>
      <c r="E6" s="233" t="str">
        <f ca="1">OFFSET(bond_calc!$A$1,MATCH(sov_bond!$B6,bond_calc!$A:$A,0)-1,3)</f>
        <v>PEN</v>
      </c>
      <c r="F6" s="189">
        <f ca="1">OFFSET(bond_calc!$A$1,MATCH(sov_bond!$B6,bond_calc!$A:$A,0)-1,4)</f>
        <v>4.7500000000000001E-2</v>
      </c>
      <c r="G6" s="189">
        <f ca="1">OFFSET(bond_calc!$A$1,MATCH(sov_bond!$B6,bond_calc!$A:$A,0)-1,5)</f>
        <v>4.7289999999999999E-2</v>
      </c>
      <c r="H6" s="189">
        <f ca="1">OFFSET(bond_calc!$A$1,MATCH(sov_bond!$B6,bond_calc!$A:$A,0)-1,6)</f>
        <v>4.7400000000000005E-2</v>
      </c>
      <c r="I6" s="176">
        <f ca="1">OFFSET(bond_calc!$A$1,MATCH(sov_bond!$B6,bond_calc!$A:$A,0)-1,7)</f>
        <v>111.642</v>
      </c>
      <c r="J6" s="176">
        <f ca="1">OFFSET(bond_calc!$A$1,MATCH(sov_bond!$B6,bond_calc!$A:$A,0)-1,8)</f>
        <v>111.8</v>
      </c>
      <c r="K6" s="176">
        <f ca="1">OFFSET(bond_calc!$A$1,MATCH(sov_bond!$B6,bond_calc!$A:$A,0)-1,9)</f>
        <v>111.721</v>
      </c>
      <c r="L6" s="7">
        <f t="shared" ca="1" si="0"/>
        <v>8.7095890410958905</v>
      </c>
    </row>
    <row r="7" spans="1:12">
      <c r="B7" s="233" t="s">
        <v>127</v>
      </c>
      <c r="C7" s="233" t="str">
        <f ca="1">OFFSET(bond_calc!$A$1,MATCH(sov_bond!$B7,bond_calc!$A:$A,0)-1,1)</f>
        <v>12/02/2029</v>
      </c>
      <c r="D7" s="189">
        <f ca="1">OFFSET(bond_calc!$A$1,MATCH(sov_bond!$B7,bond_calc!$A:$A,0)-1,2)</f>
        <v>5.9400000000000001E-2</v>
      </c>
      <c r="E7" s="233" t="str">
        <f ca="1">OFFSET(bond_calc!$A$1,MATCH(sov_bond!$B7,bond_calc!$A:$A,0)-1,3)</f>
        <v>PEN</v>
      </c>
      <c r="F7" s="189">
        <f ca="1">OFFSET(bond_calc!$A$1,MATCH(sov_bond!$B7,bond_calc!$A:$A,0)-1,4)</f>
        <v>4.9480000000000003E-2</v>
      </c>
      <c r="G7" s="189">
        <f ca="1">OFFSET(bond_calc!$A$1,MATCH(sov_bond!$B7,bond_calc!$A:$A,0)-1,5)</f>
        <v>4.9259999999999998E-2</v>
      </c>
      <c r="H7" s="189">
        <f ca="1">OFFSET(bond_calc!$A$1,MATCH(sov_bond!$B7,bond_calc!$A:$A,0)-1,6)</f>
        <v>4.9370000000000004E-2</v>
      </c>
      <c r="I7" s="176">
        <f ca="1">OFFSET(bond_calc!$A$1,MATCH(sov_bond!$B7,bond_calc!$A:$A,0)-1,7)</f>
        <v>107.417</v>
      </c>
      <c r="J7" s="176">
        <f ca="1">OFFSET(bond_calc!$A$1,MATCH(sov_bond!$B7,bond_calc!$A:$A,0)-1,8)</f>
        <v>107.59399999999999</v>
      </c>
      <c r="K7" s="176">
        <f ca="1">OFFSET(bond_calc!$A$1,MATCH(sov_bond!$B7,bond_calc!$A:$A,0)-1,9)</f>
        <v>107.506</v>
      </c>
      <c r="L7" s="7">
        <f t="shared" ca="1" si="0"/>
        <v>9.213698630136987</v>
      </c>
    </row>
    <row r="8" spans="1:12">
      <c r="B8" s="233" t="s">
        <v>122</v>
      </c>
      <c r="C8" s="233" t="str">
        <f ca="1">OFFSET(bond_calc!$A$1,MATCH(sov_bond!$B8,bond_calc!$A:$A,0)-1,1)</f>
        <v>12/08/2031</v>
      </c>
      <c r="D8" s="189">
        <f ca="1">OFFSET(bond_calc!$A$1,MATCH(sov_bond!$B8,bond_calc!$A:$A,0)-1,2)</f>
        <v>6.9500000000000006E-2</v>
      </c>
      <c r="E8" s="233" t="str">
        <f ca="1">OFFSET(bond_calc!$A$1,MATCH(sov_bond!$B8,bond_calc!$A:$A,0)-1,3)</f>
        <v>PEN</v>
      </c>
      <c r="F8" s="189">
        <f ca="1">OFFSET(bond_calc!$A$1,MATCH(sov_bond!$B8,bond_calc!$A:$A,0)-1,4)</f>
        <v>5.2049999999999999E-2</v>
      </c>
      <c r="G8" s="189">
        <f ca="1">OFFSET(bond_calc!$A$1,MATCH(sov_bond!$B8,bond_calc!$A:$A,0)-1,5)</f>
        <v>5.1830000000000001E-2</v>
      </c>
      <c r="H8" s="189">
        <f ca="1">OFFSET(bond_calc!$A$1,MATCH(sov_bond!$B8,bond_calc!$A:$A,0)-1,6)</f>
        <v>5.194E-2</v>
      </c>
      <c r="I8" s="176">
        <f ca="1">OFFSET(bond_calc!$A$1,MATCH(sov_bond!$B8,bond_calc!$A:$A,0)-1,7)</f>
        <v>115.461</v>
      </c>
      <c r="J8" s="176">
        <f ca="1">OFFSET(bond_calc!$A$1,MATCH(sov_bond!$B8,bond_calc!$A:$A,0)-1,8)</f>
        <v>115.672</v>
      </c>
      <c r="K8" s="176">
        <f ca="1">OFFSET(bond_calc!$A$1,MATCH(sov_bond!$B8,bond_calc!$A:$A,0)-1,9)</f>
        <v>115.566</v>
      </c>
      <c r="L8" s="7">
        <f t="shared" ca="1" si="0"/>
        <v>11.70958904109589</v>
      </c>
    </row>
    <row r="9" spans="1:12">
      <c r="B9" s="233" t="s">
        <v>123</v>
      </c>
      <c r="C9" s="233" t="str">
        <f ca="1">OFFSET(bond_calc!$A$1,MATCH(sov_bond!$B9,bond_calc!$A:$A,0)-1,1)</f>
        <v>12/08/2032</v>
      </c>
      <c r="D9" s="189">
        <f ca="1">OFFSET(bond_calc!$A$1,MATCH(sov_bond!$B9,bond_calc!$A:$A,0)-1,2)</f>
        <v>6.1500000000000006E-2</v>
      </c>
      <c r="E9" s="233" t="str">
        <f ca="1">OFFSET(bond_calc!$A$1,MATCH(sov_bond!$B9,bond_calc!$A:$A,0)-1,3)</f>
        <v>PEN</v>
      </c>
      <c r="F9" s="189">
        <f ca="1">OFFSET(bond_calc!$A$1,MATCH(sov_bond!$B9,bond_calc!$A:$A,0)-1,4)</f>
        <v>5.3040000000000004E-2</v>
      </c>
      <c r="G9" s="189">
        <f ca="1">OFFSET(bond_calc!$A$1,MATCH(sov_bond!$B9,bond_calc!$A:$A,0)-1,5)</f>
        <v>5.2740000000000002E-2</v>
      </c>
      <c r="H9" s="189">
        <f ca="1">OFFSET(bond_calc!$A$1,MATCH(sov_bond!$B9,bond_calc!$A:$A,0)-1,6)</f>
        <v>5.289E-2</v>
      </c>
      <c r="I9" s="176">
        <f ca="1">OFFSET(bond_calc!$A$1,MATCH(sov_bond!$B9,bond_calc!$A:$A,0)-1,7)</f>
        <v>107.833</v>
      </c>
      <c r="J9" s="176">
        <f ca="1">OFFSET(bond_calc!$A$1,MATCH(sov_bond!$B9,bond_calc!$A:$A,0)-1,8)</f>
        <v>108.133</v>
      </c>
      <c r="K9" s="176">
        <f ca="1">OFFSET(bond_calc!$A$1,MATCH(sov_bond!$B9,bond_calc!$A:$A,0)-1,9)</f>
        <v>107.983</v>
      </c>
      <c r="L9" s="7">
        <f t="shared" ca="1" si="0"/>
        <v>12.712328767123287</v>
      </c>
    </row>
    <row r="10" spans="1:12">
      <c r="B10" s="233" t="s">
        <v>124</v>
      </c>
      <c r="C10" s="233" t="str">
        <f ca="1">OFFSET(bond_calc!$A$1,MATCH(sov_bond!$B10,bond_calc!$A:$A,0)-1,1)</f>
        <v>12/08/2037</v>
      </c>
      <c r="D10" s="189">
        <f ca="1">OFFSET(bond_calc!$A$1,MATCH(sov_bond!$B10,bond_calc!$A:$A,0)-1,2)</f>
        <v>6.9000000000000006E-2</v>
      </c>
      <c r="E10" s="233" t="str">
        <f ca="1">OFFSET(bond_calc!$A$1,MATCH(sov_bond!$B10,bond_calc!$A:$A,0)-1,3)</f>
        <v>PEN</v>
      </c>
      <c r="F10" s="189">
        <f ca="1">OFFSET(bond_calc!$A$1,MATCH(sov_bond!$B10,bond_calc!$A:$A,0)-1,4)</f>
        <v>5.57E-2</v>
      </c>
      <c r="G10" s="189">
        <f ca="1">OFFSET(bond_calc!$A$1,MATCH(sov_bond!$B10,bond_calc!$A:$A,0)-1,5)</f>
        <v>5.5410000000000001E-2</v>
      </c>
      <c r="H10" s="189">
        <f ca="1">OFFSET(bond_calc!$A$1,MATCH(sov_bond!$B10,bond_calc!$A:$A,0)-1,6)</f>
        <v>5.5559999999999998E-2</v>
      </c>
      <c r="I10" s="176">
        <f ca="1">OFFSET(bond_calc!$A$1,MATCH(sov_bond!$B10,bond_calc!$A:$A,0)-1,7)</f>
        <v>114.976</v>
      </c>
      <c r="J10" s="176">
        <f ca="1">OFFSET(bond_calc!$A$1,MATCH(sov_bond!$B10,bond_calc!$A:$A,0)-1,8)</f>
        <v>115.34</v>
      </c>
      <c r="K10" s="176">
        <f ca="1">OFFSET(bond_calc!$A$1,MATCH(sov_bond!$B10,bond_calc!$A:$A,0)-1,9)</f>
        <v>115.158</v>
      </c>
      <c r="L10" s="7">
        <f t="shared" ca="1" si="0"/>
        <v>17.715068493150685</v>
      </c>
    </row>
    <row r="11" spans="1:12">
      <c r="B11" s="233" t="s">
        <v>125</v>
      </c>
      <c r="C11" s="233" t="str">
        <f ca="1">OFFSET(bond_calc!$A$1,MATCH(sov_bond!$B11,bond_calc!$A:$A,0)-1,1)</f>
        <v>12/02/2042</v>
      </c>
      <c r="D11" s="189">
        <f ca="1">OFFSET(bond_calc!$A$1,MATCH(sov_bond!$B11,bond_calc!$A:$A,0)-1,2)</f>
        <v>6.8499999999999991E-2</v>
      </c>
      <c r="E11" s="233" t="str">
        <f ca="1">OFFSET(bond_calc!$A$1,MATCH(sov_bond!$B11,bond_calc!$A:$A,0)-1,3)</f>
        <v>PEN</v>
      </c>
      <c r="F11" s="189">
        <f ca="1">OFFSET(bond_calc!$A$1,MATCH(sov_bond!$B11,bond_calc!$A:$A,0)-1,4)</f>
        <v>5.7670000000000006E-2</v>
      </c>
      <c r="G11" s="189">
        <f ca="1">OFFSET(bond_calc!$A$1,MATCH(sov_bond!$B11,bond_calc!$A:$A,0)-1,5)</f>
        <v>5.7050000000000003E-2</v>
      </c>
      <c r="H11" s="189">
        <f ca="1">OFFSET(bond_calc!$A$1,MATCH(sov_bond!$B11,bond_calc!$A:$A,0)-1,6)</f>
        <v>5.7359999999999994E-2</v>
      </c>
      <c r="I11" s="176">
        <f ca="1">OFFSET(bond_calc!$A$1,MATCH(sov_bond!$B11,bond_calc!$A:$A,0)-1,7)</f>
        <v>113.536</v>
      </c>
      <c r="J11" s="176">
        <f ca="1">OFFSET(bond_calc!$A$1,MATCH(sov_bond!$B11,bond_calc!$A:$A,0)-1,8)</f>
        <v>114.378</v>
      </c>
      <c r="K11" s="176">
        <f ca="1">OFFSET(bond_calc!$A$1,MATCH(sov_bond!$B11,bond_calc!$A:$A,0)-1,9)</f>
        <v>113.95699999999999</v>
      </c>
      <c r="L11" s="7">
        <f t="shared" ca="1" si="0"/>
        <v>22.221917808219178</v>
      </c>
    </row>
    <row r="12" spans="1:12">
      <c r="B12" s="233" t="s">
        <v>126</v>
      </c>
      <c r="C12" s="233" t="str">
        <f ca="1">OFFSET(bond_calc!$A$1,MATCH(sov_bond!$B12,bond_calc!$A:$A,0)-1,1)</f>
        <v>12/02/2055</v>
      </c>
      <c r="D12" s="189">
        <f ca="1">OFFSET(bond_calc!$A$1,MATCH(sov_bond!$B12,bond_calc!$A:$A,0)-1,2)</f>
        <v>6.7141999999999993E-2</v>
      </c>
      <c r="E12" s="233" t="str">
        <f ca="1">OFFSET(bond_calc!$A$1,MATCH(sov_bond!$B12,bond_calc!$A:$A,0)-1,3)</f>
        <v>PEN</v>
      </c>
      <c r="F12" s="189">
        <f ca="1">OFFSET(bond_calc!$A$1,MATCH(sov_bond!$B12,bond_calc!$A:$A,0)-1,4)</f>
        <v>5.849E-2</v>
      </c>
      <c r="G12" s="189">
        <f ca="1">OFFSET(bond_calc!$A$1,MATCH(sov_bond!$B12,bond_calc!$A:$A,0)-1,5)</f>
        <v>5.7980000000000004E-2</v>
      </c>
      <c r="H12" s="189">
        <f ca="1">OFFSET(bond_calc!$A$1,MATCH(sov_bond!$B12,bond_calc!$A:$A,0)-1,6)</f>
        <v>5.824E-2</v>
      </c>
      <c r="I12" s="176">
        <f ca="1">OFFSET(bond_calc!$A$1,MATCH(sov_bond!$B12,bond_calc!$A:$A,0)-1,7)</f>
        <v>112.834</v>
      </c>
      <c r="J12" s="176">
        <f ca="1">OFFSET(bond_calc!$A$1,MATCH(sov_bond!$B12,bond_calc!$A:$A,0)-1,8)</f>
        <v>113.67700000000001</v>
      </c>
      <c r="K12" s="176">
        <f ca="1">OFFSET(bond_calc!$A$1,MATCH(sov_bond!$B12,bond_calc!$A:$A,0)-1,9)</f>
        <v>113.256</v>
      </c>
      <c r="L12" s="7">
        <f t="shared" ca="1" si="0"/>
        <v>35.230136986301368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6">
    <tabColor theme="1"/>
  </sheetPr>
  <dimension ref="A1:JG62"/>
  <sheetViews>
    <sheetView workbookViewId="0">
      <selection activeCell="C31" sqref="C31"/>
    </sheetView>
  </sheetViews>
  <sheetFormatPr defaultColWidth="10.84375" defaultRowHeight="14.6"/>
  <cols>
    <col min="1" max="1" width="16.3828125" bestFit="1" customWidth="1"/>
    <col min="2" max="2" width="12.61328125" bestFit="1" customWidth="1"/>
    <col min="3" max="3" width="10.84375" bestFit="1" customWidth="1"/>
    <col min="4" max="4" width="12.3828125" bestFit="1" customWidth="1"/>
    <col min="5" max="5" width="12.61328125" bestFit="1" customWidth="1"/>
    <col min="6" max="7" width="12.3828125" bestFit="1" customWidth="1"/>
    <col min="8" max="8" width="12.61328125" bestFit="1" customWidth="1"/>
    <col min="9" max="9" width="13" bestFit="1" customWidth="1"/>
    <col min="10" max="10" width="11.4609375" bestFit="1" customWidth="1"/>
    <col min="11" max="131" width="10.84375" bestFit="1" customWidth="1"/>
    <col min="132" max="132" width="12.3828125" bestFit="1" customWidth="1"/>
    <col min="133" max="266" width="10.61328125" bestFit="1" customWidth="1"/>
    <col min="267" max="267" width="12.3828125" bestFit="1" customWidth="1"/>
  </cols>
  <sheetData>
    <row r="1" spans="1:34">
      <c r="A1" t="s">
        <v>227</v>
      </c>
      <c r="B1" t="s">
        <v>152</v>
      </c>
      <c r="C1" t="s">
        <v>574</v>
      </c>
      <c r="D1" t="s">
        <v>584</v>
      </c>
      <c r="F1" s="216">
        <f ca="1">OFFSET(bd_schd!$A$1,MATCH(cf_analisis!$A$1,bd_schd!$C:$C,0)-1,5)</f>
        <v>43851</v>
      </c>
      <c r="G1" s="216">
        <f ca="1">EDATE($F$1,6)</f>
        <v>44033</v>
      </c>
      <c r="H1" s="216">
        <f ca="1">EDATE($G$1,6)</f>
        <v>44217</v>
      </c>
      <c r="I1" s="216">
        <f ca="1">EDATE($H$1,6)</f>
        <v>44398</v>
      </c>
      <c r="J1" s="216">
        <f ca="1">EDATE($I$1,6)</f>
        <v>44582</v>
      </c>
      <c r="K1" s="216">
        <f ca="1">EDATE($J$1,6)</f>
        <v>44763</v>
      </c>
      <c r="L1" s="216">
        <f ca="1">EDATE($K$1,6)</f>
        <v>44947</v>
      </c>
      <c r="M1" s="216">
        <f ca="1">EDATE($L$1,6)</f>
        <v>45128</v>
      </c>
      <c r="N1" s="216">
        <f ca="1">EDATE($M$1,6)</f>
        <v>45312</v>
      </c>
      <c r="O1" s="216">
        <f ca="1">EDATE($N$1,6)</f>
        <v>45494</v>
      </c>
      <c r="P1" s="216">
        <f ca="1">EDATE($O$1,6)</f>
        <v>45678</v>
      </c>
      <c r="Q1" s="216">
        <f ca="1">EDATE($P$1,6)</f>
        <v>45859</v>
      </c>
      <c r="R1" s="216">
        <f ca="1">EDATE($Q$1,6)</f>
        <v>46043</v>
      </c>
    </row>
    <row r="2" spans="1:34">
      <c r="B2" s="216" t="e">
        <f ca="1">OFFSET(intercambio!$D$1,MATCH("Bono Global 2025",intercambio!$D:$D,0)-1,1)</f>
        <v>#N/A</v>
      </c>
      <c r="C2" s="217" t="e">
        <f ca="1">OFFSET(intercambio!$D$1,MATCH("Bono Global 2025",intercambio!$D:$D,0)-1,2)</f>
        <v>#N/A</v>
      </c>
      <c r="D2" s="218" t="e">
        <f ca="1">OFFSET(intercambio!$D$11,MATCH("Bono Global 2025",intercambio!$D$11:$D$14,0)-1,MATCH(intercambio!$G11,intercambio!$D11:$M$11,0)-1)</f>
        <v>#N/A</v>
      </c>
      <c r="E2" t="s">
        <v>592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 s="218" t="e">
        <f ca="1">OFFSET(intercambio!$D$11,MATCH("Bono Global 2025",intercambio!$D$11:$D$14,0)-1,MATCH(intercambio!$G11,intercambio!$D11:$M$11,0)-1)</f>
        <v>#N/A</v>
      </c>
    </row>
    <row r="3" spans="1:34">
      <c r="E3" t="s">
        <v>585</v>
      </c>
      <c r="F3" s="218" t="e">
        <f t="shared" ref="F3:R3" ca="1" si="0">$C$2*$D$2/200</f>
        <v>#N/A</v>
      </c>
      <c r="G3" s="218" t="e">
        <f t="shared" ca="1" si="0"/>
        <v>#N/A</v>
      </c>
      <c r="H3" s="218" t="e">
        <f t="shared" ca="1" si="0"/>
        <v>#N/A</v>
      </c>
      <c r="I3" s="218" t="e">
        <f t="shared" ca="1" si="0"/>
        <v>#N/A</v>
      </c>
      <c r="J3" s="218" t="e">
        <f t="shared" ca="1" si="0"/>
        <v>#N/A</v>
      </c>
      <c r="K3" s="218" t="e">
        <f t="shared" ca="1" si="0"/>
        <v>#N/A</v>
      </c>
      <c r="L3" s="218" t="e">
        <f t="shared" ca="1" si="0"/>
        <v>#N/A</v>
      </c>
      <c r="M3" s="218" t="e">
        <f t="shared" ca="1" si="0"/>
        <v>#N/A</v>
      </c>
      <c r="N3" s="218" t="e">
        <f t="shared" ca="1" si="0"/>
        <v>#N/A</v>
      </c>
      <c r="O3" s="218" t="e">
        <f t="shared" ca="1" si="0"/>
        <v>#N/A</v>
      </c>
      <c r="P3" s="218" t="e">
        <f t="shared" ca="1" si="0"/>
        <v>#N/A</v>
      </c>
      <c r="Q3" s="218" t="e">
        <f t="shared" ca="1" si="0"/>
        <v>#N/A</v>
      </c>
      <c r="R3" s="218" t="e">
        <f t="shared" ca="1" si="0"/>
        <v>#N/A</v>
      </c>
    </row>
    <row r="4" spans="1:34">
      <c r="E4" t="s">
        <v>565</v>
      </c>
      <c r="F4" s="218" t="e">
        <f ca="1">$F$2+$F$3</f>
        <v>#N/A</v>
      </c>
      <c r="G4" s="218" t="e">
        <f ca="1">$G$2+$G$3</f>
        <v>#N/A</v>
      </c>
      <c r="H4" s="218" t="e">
        <f ca="1">$H$2+$H$3</f>
        <v>#N/A</v>
      </c>
      <c r="I4" s="218" t="e">
        <f ca="1">$I$2+$I$3</f>
        <v>#N/A</v>
      </c>
      <c r="J4" s="218" t="e">
        <f ca="1">$J$2+$J$3</f>
        <v>#N/A</v>
      </c>
      <c r="K4" s="218" t="e">
        <f ca="1">$K$2+$K$3</f>
        <v>#N/A</v>
      </c>
      <c r="L4" s="218" t="e">
        <f ca="1">$L$2+$L$3</f>
        <v>#N/A</v>
      </c>
      <c r="M4" s="218" t="e">
        <f ca="1">$M$2+$M$3</f>
        <v>#N/A</v>
      </c>
      <c r="N4" s="218" t="e">
        <f ca="1">$N$2+$N$3</f>
        <v>#N/A</v>
      </c>
      <c r="O4" s="218" t="e">
        <f ca="1">$O$2+$O$3</f>
        <v>#N/A</v>
      </c>
      <c r="P4" s="218" t="e">
        <f ca="1">$P$2+$P$3</f>
        <v>#N/A</v>
      </c>
      <c r="Q4" s="218" t="e">
        <f ca="1">$Q$2+$Q$3</f>
        <v>#N/A</v>
      </c>
      <c r="R4" s="218" t="e">
        <f ca="1">$R$2+$R$3</f>
        <v>#N/A</v>
      </c>
    </row>
    <row r="5" spans="1:34">
      <c r="A5" t="s">
        <v>242</v>
      </c>
      <c r="B5" t="s">
        <v>152</v>
      </c>
      <c r="C5" t="s">
        <v>574</v>
      </c>
      <c r="D5" t="s">
        <v>584</v>
      </c>
      <c r="F5" s="216">
        <f ca="1">OFFSET(bd_schd!$A$1,MATCH(cf_analisis!$A$5,bd_schd!$C:$C,0)-1,5)</f>
        <v>43886</v>
      </c>
      <c r="G5" s="216">
        <f ca="1">EDATE($F$5,6)</f>
        <v>44068</v>
      </c>
      <c r="H5" s="216">
        <f ca="1">EDATE($G$5,6)</f>
        <v>44252</v>
      </c>
      <c r="I5" s="216">
        <f ca="1">EDATE($H$5,6)</f>
        <v>44433</v>
      </c>
      <c r="J5" s="216">
        <f ca="1">EDATE($I$5,6)</f>
        <v>44617</v>
      </c>
      <c r="K5" s="216">
        <f ca="1">EDATE($J$5,6)</f>
        <v>44798</v>
      </c>
      <c r="L5" s="216">
        <f ca="1">EDATE($K$5,6)</f>
        <v>44982</v>
      </c>
      <c r="M5" s="216">
        <f ca="1">EDATE($L$5,6)</f>
        <v>45163</v>
      </c>
      <c r="N5" s="216">
        <f ca="1">EDATE($M$5,6)</f>
        <v>45347</v>
      </c>
      <c r="O5" s="216">
        <f ca="1">EDATE($N$5,6)</f>
        <v>45529</v>
      </c>
      <c r="P5" s="216">
        <f ca="1">EDATE($O$5,6)</f>
        <v>45713</v>
      </c>
      <c r="Q5" s="216">
        <f ca="1">EDATE($P$5,6)</f>
        <v>45894</v>
      </c>
      <c r="R5" s="216">
        <f ca="1">EDATE($Q$5,6)</f>
        <v>46078</v>
      </c>
      <c r="S5" s="216">
        <f ca="1">EDATE($R$5,6)</f>
        <v>46259</v>
      </c>
      <c r="T5" s="216">
        <f ca="1">EDATE($S$5,6)</f>
        <v>46443</v>
      </c>
      <c r="U5" s="216">
        <f ca="1">EDATE($T$5,6)</f>
        <v>46624</v>
      </c>
      <c r="V5" s="216">
        <f ca="1">EDATE($U$5,6)</f>
        <v>46808</v>
      </c>
    </row>
    <row r="6" spans="1:34">
      <c r="B6" s="216" t="e">
        <f ca="1">OFFSET(intercambio!$D$1,MATCH("Bono Global 2027",intercambio!$D:$D,0)-1,1)</f>
        <v>#N/A</v>
      </c>
      <c r="C6" s="217" t="e">
        <f ca="1">OFFSET(intercambio!$D$1,MATCH("Bono Global 2027",intercambio!$D:$D,0)-1,2)</f>
        <v>#N/A</v>
      </c>
      <c r="D6" s="218" t="e">
        <f ca="1">OFFSET(intercambio!$D$11,MATCH("Bono Global 2027",intercambio!$D$11:$D$14,0)-1,MATCH(intercambio!$G11,intercambio!$D11:$M$11,0)-1)</f>
        <v>#N/A</v>
      </c>
      <c r="E6" t="s">
        <v>592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 s="218" t="e">
        <f ca="1">OFFSET(intercambio!$D$11,MATCH("Bono Global 2027",intercambio!$D$11:$D$14,0)-1,MATCH(intercambio!$G11,intercambio!$D11:$M$11,0)-1)</f>
        <v>#N/A</v>
      </c>
    </row>
    <row r="7" spans="1:34">
      <c r="E7" t="s">
        <v>585</v>
      </c>
      <c r="F7" s="218" t="e">
        <f t="shared" ref="F7:V7" ca="1" si="1">$C$6*$D$6/200</f>
        <v>#N/A</v>
      </c>
      <c r="G7" s="218" t="e">
        <f t="shared" ca="1" si="1"/>
        <v>#N/A</v>
      </c>
      <c r="H7" s="218" t="e">
        <f t="shared" ca="1" si="1"/>
        <v>#N/A</v>
      </c>
      <c r="I7" s="218" t="e">
        <f t="shared" ca="1" si="1"/>
        <v>#N/A</v>
      </c>
      <c r="J7" s="218" t="e">
        <f t="shared" ca="1" si="1"/>
        <v>#N/A</v>
      </c>
      <c r="K7" s="218" t="e">
        <f t="shared" ca="1" si="1"/>
        <v>#N/A</v>
      </c>
      <c r="L7" s="218" t="e">
        <f t="shared" ca="1" si="1"/>
        <v>#N/A</v>
      </c>
      <c r="M7" s="218" t="e">
        <f t="shared" ca="1" si="1"/>
        <v>#N/A</v>
      </c>
      <c r="N7" s="218" t="e">
        <f t="shared" ca="1" si="1"/>
        <v>#N/A</v>
      </c>
      <c r="O7" s="218" t="e">
        <f t="shared" ca="1" si="1"/>
        <v>#N/A</v>
      </c>
      <c r="P7" s="218" t="e">
        <f t="shared" ca="1" si="1"/>
        <v>#N/A</v>
      </c>
      <c r="Q7" s="218" t="e">
        <f t="shared" ca="1" si="1"/>
        <v>#N/A</v>
      </c>
      <c r="R7" s="218" t="e">
        <f t="shared" ca="1" si="1"/>
        <v>#N/A</v>
      </c>
      <c r="S7" s="218" t="e">
        <f t="shared" ca="1" si="1"/>
        <v>#N/A</v>
      </c>
      <c r="T7" s="218" t="e">
        <f t="shared" ca="1" si="1"/>
        <v>#N/A</v>
      </c>
      <c r="U7" s="218" t="e">
        <f t="shared" ca="1" si="1"/>
        <v>#N/A</v>
      </c>
      <c r="V7" s="218" t="e">
        <f t="shared" ca="1" si="1"/>
        <v>#N/A</v>
      </c>
    </row>
    <row r="8" spans="1:34">
      <c r="E8" t="s">
        <v>565</v>
      </c>
      <c r="F8" s="218" t="e">
        <f ca="1">$F$6+$F$7</f>
        <v>#N/A</v>
      </c>
      <c r="G8" s="218" t="e">
        <f ca="1">$G$6+$G$7</f>
        <v>#N/A</v>
      </c>
      <c r="H8" s="218" t="e">
        <f ca="1">$H$6+$H$7</f>
        <v>#N/A</v>
      </c>
      <c r="I8" s="218" t="e">
        <f ca="1">$I$6+$I$7</f>
        <v>#N/A</v>
      </c>
      <c r="J8" s="218" t="e">
        <f ca="1">$J$6+$J$7</f>
        <v>#N/A</v>
      </c>
      <c r="K8" s="218" t="e">
        <f ca="1">$K$6+$K$7</f>
        <v>#N/A</v>
      </c>
      <c r="L8" s="218" t="e">
        <f ca="1">$L$6+$L$7</f>
        <v>#N/A</v>
      </c>
      <c r="M8" s="218" t="e">
        <f ca="1">$M$6+$M$7</f>
        <v>#N/A</v>
      </c>
      <c r="N8" s="218" t="e">
        <f ca="1">$N$6+$N$7</f>
        <v>#N/A</v>
      </c>
      <c r="O8" s="218" t="e">
        <f ca="1">$O$6+$O$7</f>
        <v>#N/A</v>
      </c>
      <c r="P8" s="218" t="e">
        <f ca="1">$P$6+$P$7</f>
        <v>#N/A</v>
      </c>
      <c r="Q8" s="218" t="e">
        <f ca="1">$Q$6+$Q$7</f>
        <v>#N/A</v>
      </c>
      <c r="R8" s="218" t="e">
        <f ca="1">$R$6+$R$7</f>
        <v>#N/A</v>
      </c>
      <c r="S8" s="218" t="e">
        <f ca="1">$S$6+$S$7</f>
        <v>#N/A</v>
      </c>
      <c r="T8" s="218" t="e">
        <f ca="1">$T$6+$T$7</f>
        <v>#N/A</v>
      </c>
      <c r="U8" s="218" t="e">
        <f ca="1">$U$6+$U$7</f>
        <v>#N/A</v>
      </c>
      <c r="V8" s="218" t="e">
        <f ca="1">$V$6+$V$7</f>
        <v>#N/A</v>
      </c>
    </row>
    <row r="9" spans="1:34">
      <c r="A9" t="s">
        <v>252</v>
      </c>
      <c r="B9" t="s">
        <v>152</v>
      </c>
      <c r="C9" t="s">
        <v>574</v>
      </c>
      <c r="D9" t="s">
        <v>584</v>
      </c>
      <c r="F9" s="216">
        <f ca="1">OFFSET(bd_schd!$A$1,MATCH(cf_analisis!$A$9,bd_schd!$C:$C,0)-1,5)</f>
        <v>43972</v>
      </c>
      <c r="G9" s="216">
        <f ca="1">EDATE($F$9,6)</f>
        <v>44156</v>
      </c>
      <c r="H9" s="216">
        <f ca="1">EDATE($G$9,6)</f>
        <v>44337</v>
      </c>
      <c r="I9" s="216">
        <f ca="1">EDATE($H$9,6)</f>
        <v>44521</v>
      </c>
      <c r="J9" s="216">
        <f ca="1">EDATE($I$9,6)</f>
        <v>44702</v>
      </c>
      <c r="K9" s="216">
        <f ca="1">EDATE($J$9,6)</f>
        <v>44886</v>
      </c>
      <c r="L9" s="216">
        <f ca="1">EDATE($K$9,6)</f>
        <v>45067</v>
      </c>
      <c r="M9" s="216">
        <f ca="1">EDATE($L$9,6)</f>
        <v>45251</v>
      </c>
      <c r="N9" s="216">
        <f ca="1">EDATE($M$9,6)</f>
        <v>45433</v>
      </c>
      <c r="O9" s="216">
        <f ca="1">EDATE($N$9,6)</f>
        <v>45617</v>
      </c>
      <c r="P9" s="216">
        <f ca="1">EDATE($O$9,6)</f>
        <v>45798</v>
      </c>
      <c r="Q9" s="216">
        <f ca="1">EDATE($P$9,6)</f>
        <v>45982</v>
      </c>
      <c r="R9" s="216">
        <f ca="1">EDATE($Q$9,6)</f>
        <v>46163</v>
      </c>
      <c r="S9" s="216">
        <f ca="1">EDATE($R$9,6)</f>
        <v>46347</v>
      </c>
      <c r="T9" s="216">
        <f ca="1">EDATE($S$9,6)</f>
        <v>46528</v>
      </c>
      <c r="U9" s="216">
        <f ca="1">EDATE($T$9,6)</f>
        <v>46712</v>
      </c>
      <c r="V9" s="216">
        <f ca="1">EDATE($U$9,6)</f>
        <v>46894</v>
      </c>
      <c r="W9" s="216">
        <f ca="1">EDATE($V$9,6)</f>
        <v>47078</v>
      </c>
      <c r="X9" s="216">
        <f ca="1">EDATE($W$9,6)</f>
        <v>47259</v>
      </c>
      <c r="Y9" s="216">
        <f ca="1">EDATE($X$9,6)</f>
        <v>47443</v>
      </c>
      <c r="Z9" s="216">
        <f ca="1">EDATE($Y$9,6)</f>
        <v>47624</v>
      </c>
      <c r="AA9" s="216">
        <f ca="1">EDATE($Z$9,6)</f>
        <v>47808</v>
      </c>
      <c r="AB9" s="216">
        <f ca="1">EDATE($AA$9,6)</f>
        <v>47989</v>
      </c>
      <c r="AC9" s="216">
        <f ca="1">EDATE($AB$9,6)</f>
        <v>48173</v>
      </c>
      <c r="AD9" s="216">
        <f ca="1">EDATE($AC$9,6)</f>
        <v>48355</v>
      </c>
      <c r="AE9" s="216">
        <f ca="1">EDATE($AD$9,6)</f>
        <v>48539</v>
      </c>
      <c r="AF9" s="216">
        <f ca="1">EDATE($AE$9,6)</f>
        <v>48720</v>
      </c>
      <c r="AG9" s="216">
        <f ca="1">EDATE($AF$9,6)</f>
        <v>48904</v>
      </c>
      <c r="AH9" s="216">
        <f ca="1">EDATE($AG$9,6)</f>
        <v>49085</v>
      </c>
    </row>
    <row r="10" spans="1:34">
      <c r="B10" s="216" t="e">
        <f ca="1">OFFSET(intercambio!$D$1,MATCH("Bono Global 2033",intercambio!$D:$D,0)-1,1)</f>
        <v>#N/A</v>
      </c>
      <c r="C10" s="217" t="e">
        <f ca="1">OFFSET(intercambio!$D$1,MATCH("Bono Global 2033",intercambio!$D:$D,0)-1,2)</f>
        <v>#N/A</v>
      </c>
      <c r="D10" s="218" t="e">
        <f ca="1">OFFSET(intercambio!$D$11,MATCH("Bono Global 2033",intercambio!$D$11:$D$14,0)-1,MATCH(intercambio!$G11,intercambio!$D11:$M$11,0)-1)</f>
        <v>#N/A</v>
      </c>
      <c r="E10" t="s">
        <v>592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 s="218" t="e">
        <f ca="1">OFFSET(intercambio!$D$11,MATCH("Bono Global 2033",intercambio!$D$11:$D$14,0)-1,MATCH(intercambio!$G11,intercambio!$D11:$M$11,0)-1)</f>
        <v>#N/A</v>
      </c>
    </row>
    <row r="11" spans="1:34">
      <c r="E11" t="s">
        <v>585</v>
      </c>
      <c r="F11" s="218" t="e">
        <f t="shared" ref="F11:AH11" ca="1" si="2">$C$10*$D$10/200</f>
        <v>#N/A</v>
      </c>
      <c r="G11" s="218" t="e">
        <f t="shared" ca="1" si="2"/>
        <v>#N/A</v>
      </c>
      <c r="H11" s="218" t="e">
        <f t="shared" ca="1" si="2"/>
        <v>#N/A</v>
      </c>
      <c r="I11" s="218" t="e">
        <f t="shared" ca="1" si="2"/>
        <v>#N/A</v>
      </c>
      <c r="J11" s="218" t="e">
        <f t="shared" ca="1" si="2"/>
        <v>#N/A</v>
      </c>
      <c r="K11" s="218" t="e">
        <f t="shared" ca="1" si="2"/>
        <v>#N/A</v>
      </c>
      <c r="L11" s="218" t="e">
        <f t="shared" ca="1" si="2"/>
        <v>#N/A</v>
      </c>
      <c r="M11" s="218" t="e">
        <f t="shared" ca="1" si="2"/>
        <v>#N/A</v>
      </c>
      <c r="N11" s="218" t="e">
        <f t="shared" ca="1" si="2"/>
        <v>#N/A</v>
      </c>
      <c r="O11" s="218" t="e">
        <f t="shared" ca="1" si="2"/>
        <v>#N/A</v>
      </c>
      <c r="P11" s="218" t="e">
        <f t="shared" ca="1" si="2"/>
        <v>#N/A</v>
      </c>
      <c r="Q11" s="218" t="e">
        <f t="shared" ca="1" si="2"/>
        <v>#N/A</v>
      </c>
      <c r="R11" s="218" t="e">
        <f t="shared" ca="1" si="2"/>
        <v>#N/A</v>
      </c>
      <c r="S11" s="218" t="e">
        <f t="shared" ca="1" si="2"/>
        <v>#N/A</v>
      </c>
      <c r="T11" s="218" t="e">
        <f t="shared" ca="1" si="2"/>
        <v>#N/A</v>
      </c>
      <c r="U11" s="218" t="e">
        <f t="shared" ca="1" si="2"/>
        <v>#N/A</v>
      </c>
      <c r="V11" s="218" t="e">
        <f t="shared" ca="1" si="2"/>
        <v>#N/A</v>
      </c>
      <c r="W11" s="218" t="e">
        <f t="shared" ca="1" si="2"/>
        <v>#N/A</v>
      </c>
      <c r="X11" s="218" t="e">
        <f t="shared" ca="1" si="2"/>
        <v>#N/A</v>
      </c>
      <c r="Y11" s="218" t="e">
        <f t="shared" ca="1" si="2"/>
        <v>#N/A</v>
      </c>
      <c r="Z11" s="218" t="e">
        <f t="shared" ca="1" si="2"/>
        <v>#N/A</v>
      </c>
      <c r="AA11" s="218" t="e">
        <f t="shared" ca="1" si="2"/>
        <v>#N/A</v>
      </c>
      <c r="AB11" s="218" t="e">
        <f t="shared" ca="1" si="2"/>
        <v>#N/A</v>
      </c>
      <c r="AC11" s="218" t="e">
        <f t="shared" ca="1" si="2"/>
        <v>#N/A</v>
      </c>
      <c r="AD11" s="218" t="e">
        <f t="shared" ca="1" si="2"/>
        <v>#N/A</v>
      </c>
      <c r="AE11" s="218" t="e">
        <f t="shared" ca="1" si="2"/>
        <v>#N/A</v>
      </c>
      <c r="AF11" s="218" t="e">
        <f t="shared" ca="1" si="2"/>
        <v>#N/A</v>
      </c>
      <c r="AG11" s="218" t="e">
        <f t="shared" ca="1" si="2"/>
        <v>#N/A</v>
      </c>
      <c r="AH11" s="218" t="e">
        <f t="shared" ca="1" si="2"/>
        <v>#N/A</v>
      </c>
    </row>
    <row r="12" spans="1:34">
      <c r="E12" t="s">
        <v>565</v>
      </c>
      <c r="F12" s="218" t="e">
        <f ca="1">$F$10+$F$11</f>
        <v>#N/A</v>
      </c>
      <c r="G12" s="218" t="e">
        <f ca="1">$G$10+$G$11</f>
        <v>#N/A</v>
      </c>
      <c r="H12" s="218" t="e">
        <f ca="1">$H$10+$H$11</f>
        <v>#N/A</v>
      </c>
      <c r="I12" s="218" t="e">
        <f ca="1">$I$10+$I$11</f>
        <v>#N/A</v>
      </c>
      <c r="J12" s="218" t="e">
        <f ca="1">$J$10+$J$11</f>
        <v>#N/A</v>
      </c>
      <c r="K12" s="218" t="e">
        <f ca="1">$K$10+$K$11</f>
        <v>#N/A</v>
      </c>
      <c r="L12" s="218" t="e">
        <f ca="1">$L$10+$L$11</f>
        <v>#N/A</v>
      </c>
      <c r="M12" s="218" t="e">
        <f ca="1">$M$10+$M$11</f>
        <v>#N/A</v>
      </c>
      <c r="N12" s="218" t="e">
        <f ca="1">$N$10+$N$11</f>
        <v>#N/A</v>
      </c>
      <c r="O12" s="218" t="e">
        <f ca="1">$O$10+$O$11</f>
        <v>#N/A</v>
      </c>
      <c r="P12" s="218" t="e">
        <f ca="1">$P$10+$P$11</f>
        <v>#N/A</v>
      </c>
      <c r="Q12" s="218" t="e">
        <f ca="1">$Q$10+$Q$11</f>
        <v>#N/A</v>
      </c>
      <c r="R12" s="218" t="e">
        <f ca="1">$R$10+$R$11</f>
        <v>#N/A</v>
      </c>
      <c r="S12" s="218" t="e">
        <f ca="1">$S$10+$S$11</f>
        <v>#N/A</v>
      </c>
      <c r="T12" s="218" t="e">
        <f ca="1">$T$10+$T$11</f>
        <v>#N/A</v>
      </c>
      <c r="U12" s="218" t="e">
        <f ca="1">$U$10+$U$11</f>
        <v>#N/A</v>
      </c>
      <c r="V12" s="218" t="e">
        <f ca="1">$V$10+$V$11</f>
        <v>#N/A</v>
      </c>
      <c r="W12" s="218" t="e">
        <f ca="1">$W$10+$W$11</f>
        <v>#N/A</v>
      </c>
      <c r="X12" s="218" t="e">
        <f ca="1">$X$10+$X$11</f>
        <v>#N/A</v>
      </c>
      <c r="Y12" s="218" t="e">
        <f ca="1">$Y$10+$Y$11</f>
        <v>#N/A</v>
      </c>
      <c r="Z12" s="218" t="e">
        <f ca="1">$Z$10+$Z$11</f>
        <v>#N/A</v>
      </c>
      <c r="AA12" s="218" t="e">
        <f ca="1">$AA$10+$AA$11</f>
        <v>#N/A</v>
      </c>
      <c r="AB12" s="218" t="e">
        <f ca="1">$AB$10+$AB$11</f>
        <v>#N/A</v>
      </c>
      <c r="AC12" s="218" t="e">
        <f ca="1">$AC$10+$AC$11</f>
        <v>#N/A</v>
      </c>
      <c r="AD12" s="218" t="e">
        <f ca="1">$AD$10+$AD$11</f>
        <v>#N/A</v>
      </c>
      <c r="AE12" s="218" t="e">
        <f ca="1">$AE$10+$AE$11</f>
        <v>#N/A</v>
      </c>
      <c r="AF12" s="218" t="e">
        <f ca="1">$AF$10+$AF$11</f>
        <v>#N/A</v>
      </c>
      <c r="AG12" s="218" t="e">
        <f ca="1">$AG$10+$AG$11</f>
        <v>#N/A</v>
      </c>
      <c r="AH12" s="218" t="e">
        <f ca="1">$AH$10+$AH$11</f>
        <v>#N/A</v>
      </c>
    </row>
    <row r="13" spans="1:34">
      <c r="F13">
        <f ca="1">YEAR($F$9)</f>
        <v>2020</v>
      </c>
      <c r="G13">
        <f ca="1">YEAR($G$9)</f>
        <v>2020</v>
      </c>
      <c r="H13">
        <f ca="1">YEAR($H$9)</f>
        <v>2021</v>
      </c>
      <c r="I13">
        <f ca="1">YEAR($I$9)</f>
        <v>2021</v>
      </c>
      <c r="J13">
        <f ca="1">YEAR($J$9)</f>
        <v>2022</v>
      </c>
      <c r="K13">
        <f ca="1">YEAR($K$9)</f>
        <v>2022</v>
      </c>
      <c r="L13">
        <f ca="1">YEAR($L$9)</f>
        <v>2023</v>
      </c>
      <c r="M13">
        <f ca="1">YEAR($M$9)</f>
        <v>2023</v>
      </c>
      <c r="N13">
        <f ca="1">YEAR($N$9)</f>
        <v>2024</v>
      </c>
      <c r="O13">
        <f ca="1">YEAR($O$9)</f>
        <v>2024</v>
      </c>
      <c r="P13">
        <f ca="1">YEAR($P$9)</f>
        <v>2025</v>
      </c>
      <c r="Q13">
        <f ca="1">YEAR($Q$9)</f>
        <v>2025</v>
      </c>
      <c r="R13">
        <f ca="1">YEAR($R$9)</f>
        <v>2026</v>
      </c>
      <c r="S13">
        <f ca="1">YEAR($S$9)</f>
        <v>2026</v>
      </c>
      <c r="T13">
        <f ca="1">YEAR($T$9)</f>
        <v>2027</v>
      </c>
      <c r="U13">
        <f ca="1">YEAR($U$9)</f>
        <v>2027</v>
      </c>
      <c r="V13">
        <f ca="1">YEAR($V$9)</f>
        <v>2028</v>
      </c>
      <c r="W13">
        <f ca="1">YEAR($W$9)</f>
        <v>2028</v>
      </c>
      <c r="X13">
        <f ca="1">YEAR($X$9)</f>
        <v>2029</v>
      </c>
      <c r="Y13">
        <f ca="1">YEAR($Y$9)</f>
        <v>2029</v>
      </c>
      <c r="Z13">
        <f ca="1">YEAR($Z$9)</f>
        <v>2030</v>
      </c>
      <c r="AA13">
        <f ca="1">YEAR($AA$9)</f>
        <v>2030</v>
      </c>
      <c r="AB13">
        <f ca="1">YEAR($AB$9)</f>
        <v>2031</v>
      </c>
      <c r="AC13">
        <f ca="1">YEAR($AC$9)</f>
        <v>2031</v>
      </c>
      <c r="AD13">
        <f ca="1">YEAR($AD$9)</f>
        <v>2032</v>
      </c>
      <c r="AE13">
        <f ca="1">YEAR($AE$9)</f>
        <v>2032</v>
      </c>
      <c r="AF13">
        <f ca="1">YEAR($AF$9)</f>
        <v>2033</v>
      </c>
      <c r="AG13">
        <f ca="1">YEAR($AG$9)</f>
        <v>2033</v>
      </c>
      <c r="AH13">
        <f ca="1">YEAR($AH$9)</f>
        <v>2034</v>
      </c>
    </row>
    <row r="14" spans="1:34">
      <c r="A14" t="s">
        <v>595</v>
      </c>
      <c r="B14">
        <v>2019</v>
      </c>
      <c r="C14">
        <v>2020</v>
      </c>
      <c r="D14">
        <v>2021</v>
      </c>
      <c r="E14">
        <v>2022</v>
      </c>
      <c r="F14">
        <v>2023</v>
      </c>
      <c r="G14">
        <v>2024</v>
      </c>
      <c r="H14">
        <v>2025</v>
      </c>
      <c r="I14">
        <v>2026</v>
      </c>
      <c r="J14">
        <v>2027</v>
      </c>
      <c r="K14">
        <v>2028</v>
      </c>
      <c r="L14">
        <v>2029</v>
      </c>
      <c r="M14">
        <v>2030</v>
      </c>
      <c r="N14">
        <v>2031</v>
      </c>
      <c r="O14">
        <v>2032</v>
      </c>
      <c r="P14">
        <v>2033</v>
      </c>
    </row>
    <row r="15" spans="1:34">
      <c r="A15" t="s">
        <v>592</v>
      </c>
      <c r="B15" s="220">
        <f t="array" aca="1" ref="B15" ca="1">SUM(IF($E$2:$E$12=$A$15,IF($F$13:$AH$13=$B$14,$F$2:$AH$12)))</f>
        <v>0</v>
      </c>
      <c r="C15" s="220">
        <f t="array" aca="1" ref="C15" ca="1">SUM(IF($E$2:$E$12=$A$15,IF($F$13:$AH$13=$C$14,$F$2:$AH$12)))</f>
        <v>0</v>
      </c>
      <c r="D15" s="220">
        <f t="array" aca="1" ref="D15" ca="1">SUM(IF($E$2:$E$12=$A$15,IF($F$13:$AH$13=$D$14,$F$2:$AH$12)))</f>
        <v>0</v>
      </c>
      <c r="E15" s="220">
        <f t="array" aca="1" ref="E15" ca="1">SUM(IF($E$2:$E$12=$A$15,IF($F$13:$AH$13=$E$14,$F$2:$AH$12)))</f>
        <v>0</v>
      </c>
      <c r="F15" s="220">
        <f t="array" aca="1" ref="F15" ca="1">SUM(IF($E$2:$E$12=$A$15,IF($F$13:$AH$13=$F$14,$F$2:$AH$12)))</f>
        <v>0</v>
      </c>
      <c r="G15" s="220">
        <f t="array" aca="1" ref="G15" ca="1">SUM(IF($E$2:$E$12=$A$15,IF($F$13:$AH$13=$G$14,$F$2:$AH$12)))</f>
        <v>0</v>
      </c>
      <c r="H15" s="220">
        <f t="array" aca="1" ref="H15" ca="1">SUM(IF($E$2:$E$12=$A$15,IF($F$13:$AH$13=$H$14,$F$2:$AH$12)))</f>
        <v>0</v>
      </c>
      <c r="I15" s="220" t="e">
        <f t="array" aca="1" ref="I15" ca="1">SUM(IF($E$2:$E$12=$A$15,IF($F$13:$AH$13=$I$14,$F$2:$AH$12)))</f>
        <v>#N/A</v>
      </c>
      <c r="J15" s="220">
        <f t="array" aca="1" ref="J15" ca="1">SUM(IF($E$2:$E$12=$A$15,IF($F$13:$AH$13=$J$14,$F$2:$AH$12)))</f>
        <v>0</v>
      </c>
      <c r="K15" s="220" t="e">
        <f t="array" aca="1" ref="K15" ca="1">SUM(IF($E$2:$E$12=$A$15,IF($F$13:$AH$13=$K$14,$F$2:$AH$12)))</f>
        <v>#N/A</v>
      </c>
      <c r="L15" s="220">
        <f t="array" aca="1" ref="L15" ca="1">SUM(IF($E$2:$E$12=$A$15,IF($F$13:$AH$13=$L$14,$F$2:$AH$12)))</f>
        <v>0</v>
      </c>
      <c r="M15" s="220">
        <f t="array" aca="1" ref="M15" ca="1">SUM(IF($E$2:$E$12=$A$15,IF($F$13:$AH$13=$M$14,$F$2:$AH$12)))</f>
        <v>0</v>
      </c>
      <c r="N15" s="220">
        <f t="array" aca="1" ref="N15" ca="1">SUM(IF($E$2:$E$12=$A$15,IF($F$13:$AH$13=$N$14,$F$2:$AH$12)))</f>
        <v>0</v>
      </c>
      <c r="O15" s="220">
        <f t="array" aca="1" ref="O15" ca="1">SUM(IF($E$2:$E$12=$A$15,IF($F$13:$AH$13=$O$14,$F$2:$AH$12)))</f>
        <v>0</v>
      </c>
      <c r="P15" s="220">
        <f t="array" aca="1" ref="P15" ca="1">SUM(IF($E$2:$E$12=$A$15,IF($F$13:$AH$13=$P$14,$F$2:$AH$12)))</f>
        <v>0</v>
      </c>
      <c r="Q15" s="220"/>
      <c r="R15" s="220"/>
      <c r="S15" s="220"/>
      <c r="T15" s="220"/>
      <c r="U15" s="220"/>
      <c r="V15" s="220"/>
      <c r="W15" s="220"/>
      <c r="X15" s="220"/>
      <c r="Y15" s="220"/>
      <c r="Z15" s="220"/>
      <c r="AA15" s="220"/>
      <c r="AB15" s="220"/>
      <c r="AC15" s="220"/>
      <c r="AD15" s="220"/>
      <c r="AE15" s="220"/>
      <c r="AF15" s="220"/>
      <c r="AG15" s="220"/>
      <c r="AH15" s="220"/>
    </row>
    <row r="16" spans="1:34">
      <c r="A16" t="s">
        <v>585</v>
      </c>
      <c r="B16" s="220">
        <f t="array" aca="1" ref="B16" ca="1">SUM(IF($E$2:$E$12=$A$16,IF($F$13:$AH$13=$B$14,$F$2:$AH$12)))</f>
        <v>0</v>
      </c>
      <c r="C16" s="220" t="e">
        <f t="array" aca="1" ref="C16" ca="1">SUM(IF($E$2:$E$12=$A$16,IF($F$13:$AH$13=$C$14,$F$2:$AH$12)))</f>
        <v>#N/A</v>
      </c>
      <c r="D16" s="220" t="e">
        <f t="array" aca="1" ref="D16" ca="1">SUM(IF($E$2:$E$12=$A$16,IF($F$13:$AH$13=$D$14,$F$2:$AH$12)))</f>
        <v>#N/A</v>
      </c>
      <c r="E16" s="220" t="e">
        <f t="array" aca="1" ref="E16" ca="1">SUM(IF($E$2:$E$12=$A$16,IF($F$13:$AH$13=$E$14,$F$2:$AH$12)))</f>
        <v>#N/A</v>
      </c>
      <c r="F16" s="220" t="e">
        <f t="array" aca="1" ref="F16" ca="1">SUM(IF($E$2:$E$12=$A$16,IF($F$13:$AH$13=$F$14,$F$2:$AH$12)))</f>
        <v>#N/A</v>
      </c>
      <c r="G16" s="220" t="e">
        <f t="array" aca="1" ref="G16" ca="1">SUM(IF($E$2:$E$12=$A$16,IF($F$13:$AH$13=$G$14,$F$2:$AH$12)))</f>
        <v>#N/A</v>
      </c>
      <c r="H16" s="220" t="e">
        <f t="array" aca="1" ref="H16" ca="1">SUM(IF($E$2:$E$12=$A$16,IF($F$13:$AH$13=$H$14,$F$2:$AH$12)))</f>
        <v>#N/A</v>
      </c>
      <c r="I16" s="220" t="e">
        <f t="array" aca="1" ref="I16" ca="1">SUM(IF($E$2:$E$12=$A$16,IF($F$13:$AH$13=$I$14,$F$2:$AH$12)))</f>
        <v>#N/A</v>
      </c>
      <c r="J16" s="220" t="e">
        <f t="array" aca="1" ref="J16" ca="1">SUM(IF($E$2:$E$12=$A$16,IF($F$13:$AH$13=$J$14,$F$2:$AH$12)))</f>
        <v>#N/A</v>
      </c>
      <c r="K16" s="220" t="e">
        <f t="array" aca="1" ref="K16" ca="1">SUM(IF($E$2:$E$12=$A$16,IF($F$13:$AH$13=$K$14,$F$2:$AH$12)))</f>
        <v>#N/A</v>
      </c>
      <c r="L16" s="220" t="e">
        <f t="array" aca="1" ref="L16" ca="1">SUM(IF($E$2:$E$12=$A$16,IF($F$13:$AH$13=$L$14,$F$2:$AH$12)))</f>
        <v>#N/A</v>
      </c>
      <c r="M16" s="220" t="e">
        <f t="array" aca="1" ref="M16" ca="1">SUM(IF($E$2:$E$12=$A$16,IF($F$13:$AH$13=$M$14,$F$2:$AH$12)))</f>
        <v>#N/A</v>
      </c>
      <c r="N16" s="220" t="e">
        <f t="array" aca="1" ref="N16" ca="1">SUM(IF($E$2:$E$12=$A$16,IF($F$13:$AH$13=$N$14,$F$2:$AH$12)))</f>
        <v>#N/A</v>
      </c>
      <c r="O16" s="220" t="e">
        <f t="array" aca="1" ref="O16" ca="1">SUM(IF($E$2:$E$12=$A$16,IF($F$13:$AH$13=$O$14,$F$2:$AH$12)))</f>
        <v>#N/A</v>
      </c>
      <c r="P16" s="220" t="e">
        <f t="array" aca="1" ref="P16" ca="1">SUM(IF($E$2:$E$12=$A$16,IF($F$13:$AH$13=$P$14,$F$2:$AH$12)))</f>
        <v>#N/A</v>
      </c>
      <c r="Q16" s="220"/>
      <c r="R16" s="220"/>
      <c r="S16" s="220"/>
      <c r="T16" s="220"/>
      <c r="U16" s="220"/>
      <c r="V16" s="220"/>
      <c r="W16" s="220"/>
      <c r="X16" s="220"/>
      <c r="Y16" s="220"/>
      <c r="Z16" s="220"/>
      <c r="AA16" s="220"/>
      <c r="AB16" s="220"/>
      <c r="AC16" s="220"/>
      <c r="AD16" s="220"/>
      <c r="AE16" s="220"/>
      <c r="AF16" s="220"/>
      <c r="AG16" s="220"/>
      <c r="AH16" s="220"/>
    </row>
    <row r="17" spans="1:267">
      <c r="A17" t="s">
        <v>565</v>
      </c>
      <c r="B17" s="220">
        <f t="array" aca="1" ref="B17" ca="1">SUM(IF($E$2:$E$12=$A$17,IF($F$13:$AH$13=$B$14,$F$2:$AH$12)))</f>
        <v>0</v>
      </c>
      <c r="C17" s="220" t="e">
        <f t="array" aca="1" ref="C17" ca="1">SUM(IF($E$2:$E$12=$A$17,IF($F$13:$AH$13=$C$14,$F$2:$AH$12)))</f>
        <v>#N/A</v>
      </c>
      <c r="D17" s="220" t="e">
        <f t="array" aca="1" ref="D17" ca="1">SUM(IF($E$2:$E$12=$A$17,IF($F$13:$AH$13=$D$14,$F$2:$AH$12)))</f>
        <v>#N/A</v>
      </c>
      <c r="E17" s="220" t="e">
        <f t="array" aca="1" ref="E17" ca="1">SUM(IF($E$2:$E$12=$A$17,IF($F$13:$AH$13=$E$14,$F$2:$AH$12)))</f>
        <v>#N/A</v>
      </c>
      <c r="F17" s="220" t="e">
        <f t="array" aca="1" ref="F17" ca="1">SUM(IF($E$2:$E$12=$A$17,IF($F$13:$AH$13=$F$14,$F$2:$AH$12)))</f>
        <v>#N/A</v>
      </c>
      <c r="G17" s="220" t="e">
        <f t="array" aca="1" ref="G17" ca="1">SUM(IF($E$2:$E$12=$A$17,IF($F$13:$AH$13=$G$14,$F$2:$AH$12)))</f>
        <v>#N/A</v>
      </c>
      <c r="H17" s="220" t="e">
        <f t="array" aca="1" ref="H17" ca="1">SUM(IF($E$2:$E$12=$A$17,IF($F$13:$AH$13=$H$14,$F$2:$AH$12)))</f>
        <v>#N/A</v>
      </c>
      <c r="I17" s="220" t="e">
        <f t="array" aca="1" ref="I17" ca="1">SUM(IF($E$2:$E$12=$A$17,IF($F$13:$AH$13=$I$14,$F$2:$AH$12)))</f>
        <v>#N/A</v>
      </c>
      <c r="J17" s="220" t="e">
        <f t="array" aca="1" ref="J17" ca="1">SUM(IF($E$2:$E$12=$A$17,IF($F$13:$AH$13=$J$14,$F$2:$AH$12)))</f>
        <v>#N/A</v>
      </c>
      <c r="K17" s="220" t="e">
        <f t="array" aca="1" ref="K17" ca="1">SUM(IF($E$2:$E$12=$A$17,IF($F$13:$AH$13=$K$14,$F$2:$AH$12)))</f>
        <v>#N/A</v>
      </c>
      <c r="L17" s="220" t="e">
        <f t="array" aca="1" ref="L17" ca="1">SUM(IF($E$2:$E$12=$A$17,IF($F$13:$AH$13=$L$14,$F$2:$AH$12)))</f>
        <v>#N/A</v>
      </c>
      <c r="M17" s="220" t="e">
        <f t="array" aca="1" ref="M17" ca="1">SUM(IF($E$2:$E$12=$A$17,IF($F$13:$AH$13=$M$14,$F$2:$AH$12)))</f>
        <v>#N/A</v>
      </c>
      <c r="N17" s="220" t="e">
        <f t="array" aca="1" ref="N17" ca="1">SUM(IF($E$2:$E$12=$A$17,IF($F$13:$AH$13=$N$14,$F$2:$AH$12)))</f>
        <v>#N/A</v>
      </c>
      <c r="O17" s="220" t="e">
        <f t="array" aca="1" ref="O17" ca="1">SUM(IF($E$2:$E$12=$A$17,IF($F$13:$AH$13=$O$14,$F$2:$AH$12)))</f>
        <v>#N/A</v>
      </c>
      <c r="P17" s="220" t="e">
        <f t="array" aca="1" ref="P17" ca="1">SUM(IF($E$2:$E$12=$A$17,IF($F$13:$AH$13=$P$14,$F$2:$AH$12)))</f>
        <v>#N/A</v>
      </c>
      <c r="Q17" s="220"/>
      <c r="R17" s="220"/>
      <c r="S17" s="220"/>
      <c r="T17" s="220"/>
      <c r="U17" s="220"/>
      <c r="V17" s="220"/>
      <c r="W17" s="220"/>
      <c r="X17" s="220"/>
      <c r="Y17" s="220"/>
      <c r="Z17" s="220"/>
      <c r="AA17" s="220"/>
      <c r="AB17" s="220"/>
      <c r="AC17" s="220"/>
      <c r="AD17" s="220"/>
      <c r="AE17" s="220"/>
      <c r="AF17" s="220"/>
      <c r="AG17" s="220"/>
      <c r="AH17" s="220"/>
    </row>
    <row r="19" spans="1:267">
      <c r="A19" t="s">
        <v>558</v>
      </c>
      <c r="B19" t="s">
        <v>152</v>
      </c>
      <c r="C19" t="s">
        <v>574</v>
      </c>
      <c r="D19" t="s">
        <v>584</v>
      </c>
      <c r="F19" s="216"/>
      <c r="G19" s="216">
        <f>EDATE($F$19,6)</f>
        <v>182</v>
      </c>
      <c r="H19" s="216">
        <f>EDATE($G$19,6)</f>
        <v>365</v>
      </c>
      <c r="I19" s="216">
        <f>EDATE($H$19,6)</f>
        <v>547</v>
      </c>
      <c r="J19" s="216">
        <f>EDATE($I$19,6)</f>
        <v>730</v>
      </c>
      <c r="K19" s="216">
        <f>EDATE($J$19,6)</f>
        <v>912</v>
      </c>
      <c r="L19" s="216">
        <f>EDATE($K$19,6)</f>
        <v>1095</v>
      </c>
      <c r="M19" s="216">
        <f>EDATE($L$19,6)</f>
        <v>1277</v>
      </c>
      <c r="N19" s="216">
        <f>EDATE($M$19,6)</f>
        <v>1460</v>
      </c>
      <c r="O19" s="216">
        <f>EDATE($N$19,6)</f>
        <v>1643</v>
      </c>
      <c r="P19" s="216">
        <f>EDATE($O$19,6)</f>
        <v>1826</v>
      </c>
      <c r="Q19" s="216">
        <f>EDATE($P$19,6)</f>
        <v>2008</v>
      </c>
      <c r="R19" s="216">
        <f>EDATE($Q$19,6)</f>
        <v>2191</v>
      </c>
      <c r="S19" s="216">
        <f>EDATE($R$19,6)</f>
        <v>2373</v>
      </c>
      <c r="T19" s="216">
        <f>EDATE($S$19,6)</f>
        <v>2556</v>
      </c>
      <c r="U19" s="216">
        <f>EDATE($T$19,6)</f>
        <v>2738</v>
      </c>
      <c r="V19" s="216">
        <f>EDATE($U$19,6)</f>
        <v>2921</v>
      </c>
      <c r="W19" s="216">
        <f>EDATE($V$19,6)</f>
        <v>3104</v>
      </c>
      <c r="X19" s="216">
        <f>EDATE($W$19,6)</f>
        <v>3287</v>
      </c>
      <c r="Y19" s="216">
        <f>EDATE($X$19,6)</f>
        <v>3469</v>
      </c>
      <c r="Z19" s="216">
        <f>EDATE($Y$19,6)</f>
        <v>3652</v>
      </c>
      <c r="AA19" s="216">
        <f>EDATE($Z$19,6)</f>
        <v>3834</v>
      </c>
      <c r="AB19" s="216">
        <f>EDATE($AA$19,6)</f>
        <v>4017</v>
      </c>
      <c r="AC19" s="216">
        <f>EDATE($AB$19,6)</f>
        <v>4199</v>
      </c>
      <c r="AD19" s="216">
        <f>EDATE($AC$19,6)</f>
        <v>4382</v>
      </c>
      <c r="AE19" s="216">
        <f>EDATE($AD$19,6)</f>
        <v>4565</v>
      </c>
      <c r="AF19" s="216">
        <f>EDATE($AE$19,6)</f>
        <v>4748</v>
      </c>
      <c r="AG19" s="216">
        <f>EDATE($AF$19,6)</f>
        <v>4930</v>
      </c>
      <c r="AH19" s="216">
        <f>EDATE($AG$19,6)</f>
        <v>5113</v>
      </c>
      <c r="AI19" s="216">
        <f>EDATE($AH$19,6)</f>
        <v>5295</v>
      </c>
      <c r="AJ19" s="216">
        <f>EDATE($AI$19,6)</f>
        <v>5478</v>
      </c>
      <c r="AK19" s="216">
        <f>EDATE($AJ$19,6)</f>
        <v>5660</v>
      </c>
      <c r="AL19" s="216">
        <f>EDATE($AK$19,6)</f>
        <v>5843</v>
      </c>
      <c r="AM19" s="216">
        <f>EDATE($AL$19,6)</f>
        <v>6026</v>
      </c>
      <c r="AN19" s="216">
        <f>EDATE($AM$19,6)</f>
        <v>6209</v>
      </c>
      <c r="AO19" s="216">
        <f>EDATE($AN$19,6)</f>
        <v>6391</v>
      </c>
      <c r="AP19" s="216">
        <f>EDATE($AO$19,6)</f>
        <v>6574</v>
      </c>
      <c r="AQ19" s="216">
        <f>EDATE($AP$19,6)</f>
        <v>6756</v>
      </c>
      <c r="AR19" s="216">
        <f>EDATE($AQ$19,6)</f>
        <v>6939</v>
      </c>
      <c r="AS19" s="216">
        <f>EDATE($AR$19,6)</f>
        <v>7121</v>
      </c>
      <c r="AT19" s="216">
        <f>EDATE($AS$19,6)</f>
        <v>7304</v>
      </c>
      <c r="AU19" s="216">
        <f>EDATE($AT$19,6)</f>
        <v>7487</v>
      </c>
      <c r="AV19" s="216">
        <f>EDATE($AU$19,6)</f>
        <v>7670</v>
      </c>
      <c r="AW19" s="216">
        <f>EDATE($AV$19,6)</f>
        <v>7852</v>
      </c>
      <c r="AX19" s="216">
        <f>EDATE($AW$19,6)</f>
        <v>8035</v>
      </c>
      <c r="AY19" s="216">
        <f>EDATE($AX$19,6)</f>
        <v>8217</v>
      </c>
      <c r="AZ19" s="216">
        <f>EDATE($AY$19,6)</f>
        <v>8400</v>
      </c>
      <c r="BA19" s="216">
        <f>EDATE($AZ$19,6)</f>
        <v>8582</v>
      </c>
      <c r="BB19" s="216">
        <f>EDATE($BA$19,6)</f>
        <v>8765</v>
      </c>
      <c r="BC19" s="216">
        <f>EDATE($BB$19,6)</f>
        <v>8948</v>
      </c>
      <c r="BD19" s="216">
        <f>EDATE($BC$19,6)</f>
        <v>9131</v>
      </c>
      <c r="BE19" s="216">
        <f>EDATE($BD$19,6)</f>
        <v>9313</v>
      </c>
      <c r="BF19" s="216">
        <f>EDATE($BE$19,6)</f>
        <v>9496</v>
      </c>
      <c r="BG19" s="216">
        <f>EDATE($BF$19,6)</f>
        <v>9678</v>
      </c>
      <c r="BH19" s="216">
        <f>EDATE($BG$19,6)</f>
        <v>9861</v>
      </c>
      <c r="BI19" s="216">
        <f>EDATE($BH$19,6)</f>
        <v>10043</v>
      </c>
      <c r="BJ19" s="216">
        <f>EDATE($BI$19,6)</f>
        <v>10226</v>
      </c>
      <c r="BK19" s="216">
        <f>EDATE($BJ$19,6)</f>
        <v>10409</v>
      </c>
      <c r="BL19" s="216">
        <f>EDATE($BK$19,6)</f>
        <v>10592</v>
      </c>
      <c r="BM19" s="216">
        <f>EDATE($BL$19,6)</f>
        <v>10774</v>
      </c>
      <c r="BN19" s="216">
        <f>EDATE($BM$19,6)</f>
        <v>10957</v>
      </c>
      <c r="BO19" s="216">
        <f>EDATE($BN$19,6)</f>
        <v>11139</v>
      </c>
      <c r="BP19" s="216">
        <f>EDATE($BO$19,6)</f>
        <v>11322</v>
      </c>
      <c r="BQ19" s="216">
        <f>EDATE($BP$19,6)</f>
        <v>11504</v>
      </c>
      <c r="BR19" s="216">
        <f>EDATE($BQ$19,6)</f>
        <v>11687</v>
      </c>
      <c r="BS19" s="216">
        <f>EDATE($BR$19,6)</f>
        <v>11870</v>
      </c>
      <c r="BT19" s="216">
        <f>EDATE($BS$19,6)</f>
        <v>12053</v>
      </c>
      <c r="BU19" s="216">
        <f>EDATE($BT$19,6)</f>
        <v>12235</v>
      </c>
      <c r="BV19" s="216">
        <f>EDATE($BU$19,6)</f>
        <v>12418</v>
      </c>
      <c r="BW19" s="216">
        <f>EDATE($BV$19,6)</f>
        <v>12600</v>
      </c>
      <c r="BX19" s="216">
        <f>EDATE($BW$19,6)</f>
        <v>12783</v>
      </c>
      <c r="BY19" s="216">
        <f>EDATE($BX$19,6)</f>
        <v>12965</v>
      </c>
      <c r="BZ19" s="216">
        <f>EDATE($BY$19,6)</f>
        <v>13148</v>
      </c>
      <c r="CA19" s="216">
        <f>EDATE($BZ$19,6)</f>
        <v>13331</v>
      </c>
      <c r="CB19" s="216">
        <f>EDATE($CA$19,6)</f>
        <v>13514</v>
      </c>
      <c r="CC19" s="216">
        <f>EDATE($CB$19,6)</f>
        <v>13696</v>
      </c>
      <c r="CD19" s="216">
        <f>EDATE($CC$19,6)</f>
        <v>13879</v>
      </c>
      <c r="CE19" s="216">
        <f>EDATE($CD$19,6)</f>
        <v>14061</v>
      </c>
      <c r="CF19" s="216">
        <f>EDATE($CE$19,6)</f>
        <v>14244</v>
      </c>
      <c r="CG19" s="216">
        <f>EDATE($CF$19,6)</f>
        <v>14426</v>
      </c>
      <c r="CH19" s="216">
        <f>EDATE($CG$19,6)</f>
        <v>14609</v>
      </c>
      <c r="CI19" s="216">
        <f>EDATE($CH$19,6)</f>
        <v>14792</v>
      </c>
      <c r="CJ19" s="216">
        <f>EDATE($CI$19,6)</f>
        <v>14975</v>
      </c>
      <c r="CK19" s="216">
        <f>EDATE($CJ$19,6)</f>
        <v>15157</v>
      </c>
      <c r="CL19" s="216">
        <f>EDATE($CK$19,6)</f>
        <v>15340</v>
      </c>
      <c r="CM19" s="216">
        <f>EDATE($CL$19,6)</f>
        <v>15522</v>
      </c>
      <c r="CN19" s="216">
        <f>EDATE($CM$19,6)</f>
        <v>15705</v>
      </c>
      <c r="CO19" s="216">
        <f>EDATE($CN$19,6)</f>
        <v>15887</v>
      </c>
      <c r="CP19" s="216">
        <f>EDATE($CO$19,6)</f>
        <v>16070</v>
      </c>
      <c r="CQ19" s="216">
        <f>EDATE($CP$19,6)</f>
        <v>16253</v>
      </c>
      <c r="CR19" s="216">
        <f>EDATE($CQ$19,6)</f>
        <v>16436</v>
      </c>
      <c r="CS19" s="216">
        <f>EDATE($CR$19,6)</f>
        <v>16618</v>
      </c>
      <c r="CT19" s="216">
        <f>EDATE($CS$19,6)</f>
        <v>16801</v>
      </c>
      <c r="CU19" s="216">
        <f>EDATE($CT$19,6)</f>
        <v>16983</v>
      </c>
      <c r="CV19" s="216">
        <f>EDATE($CU$19,6)</f>
        <v>17166</v>
      </c>
      <c r="CW19" s="216">
        <f>EDATE($CV$19,6)</f>
        <v>17348</v>
      </c>
      <c r="CX19" s="216">
        <f>EDATE($CW$19,6)</f>
        <v>17531</v>
      </c>
      <c r="CY19" s="216">
        <f>EDATE($CX$19,6)</f>
        <v>17714</v>
      </c>
      <c r="CZ19" s="216">
        <f>EDATE($CY$19,6)</f>
        <v>17897</v>
      </c>
      <c r="DA19" s="216">
        <f>EDATE($CZ$19,6)</f>
        <v>18079</v>
      </c>
      <c r="DB19" s="216">
        <f>EDATE($DA$19,6)</f>
        <v>18262</v>
      </c>
      <c r="DC19" s="216">
        <f>EDATE($DB$19,6)</f>
        <v>18444</v>
      </c>
      <c r="DD19" s="216">
        <f>EDATE($DC$19,6)</f>
        <v>18627</v>
      </c>
      <c r="DE19" s="216">
        <f>EDATE($DD$19,6)</f>
        <v>18809</v>
      </c>
      <c r="DF19" s="216">
        <f>EDATE($DE$19,6)</f>
        <v>18992</v>
      </c>
      <c r="DG19" s="216">
        <f>EDATE($DF$19,6)</f>
        <v>19175</v>
      </c>
      <c r="DH19" s="216">
        <f>EDATE($DG$19,6)</f>
        <v>19358</v>
      </c>
      <c r="DI19" s="216">
        <f>EDATE($DH$19,6)</f>
        <v>19540</v>
      </c>
      <c r="DJ19" s="216">
        <f>EDATE($DI$19,6)</f>
        <v>19723</v>
      </c>
      <c r="DK19" s="216">
        <f>EDATE($DJ$19,6)</f>
        <v>19905</v>
      </c>
      <c r="DL19" s="216">
        <f>EDATE($DK$19,6)</f>
        <v>20088</v>
      </c>
      <c r="DM19" s="216">
        <f>EDATE($DL$19,6)</f>
        <v>20270</v>
      </c>
      <c r="DN19" s="216">
        <f>EDATE($DM$19,6)</f>
        <v>20453</v>
      </c>
      <c r="DO19" s="216">
        <f>EDATE($DN$19,6)</f>
        <v>20636</v>
      </c>
      <c r="DP19" s="216">
        <f>EDATE($DO$19,6)</f>
        <v>20819</v>
      </c>
      <c r="DQ19" s="216">
        <f>EDATE($DP$19,6)</f>
        <v>21001</v>
      </c>
      <c r="DR19" s="216">
        <f>EDATE($DQ$19,6)</f>
        <v>21184</v>
      </c>
      <c r="DS19" s="216">
        <f>EDATE($DR$19,6)</f>
        <v>21366</v>
      </c>
      <c r="DT19" s="216">
        <f>EDATE($DS$19,6)</f>
        <v>21549</v>
      </c>
      <c r="DU19" s="216">
        <f>EDATE($DT$19,6)</f>
        <v>21731</v>
      </c>
      <c r="DV19" s="216">
        <f>EDATE($DU$19,6)</f>
        <v>21914</v>
      </c>
      <c r="DW19" s="216">
        <f>EDATE($DV$19,6)</f>
        <v>22097</v>
      </c>
      <c r="DX19" s="216">
        <f>EDATE($DW$19,6)</f>
        <v>22280</v>
      </c>
      <c r="DY19" s="216">
        <f>EDATE($DX$19,6)</f>
        <v>22462</v>
      </c>
      <c r="DZ19" s="216">
        <f>EDATE($DY$19,6)</f>
        <v>22645</v>
      </c>
      <c r="EA19" s="216">
        <f>EDATE($DZ$19,6)</f>
        <v>22827</v>
      </c>
      <c r="EB19" s="216">
        <f>EDATE($EA$19,6)</f>
        <v>23010</v>
      </c>
      <c r="EC19" s="216">
        <f>EDATE($EB$19,6)</f>
        <v>23192</v>
      </c>
      <c r="ED19" s="216">
        <f>EDATE($EC$19,6)</f>
        <v>23375</v>
      </c>
      <c r="EE19" s="216">
        <f>EDATE($ED$19,6)</f>
        <v>23558</v>
      </c>
      <c r="EF19" s="216">
        <f>EDATE($EE$19,6)</f>
        <v>23741</v>
      </c>
      <c r="EG19" s="216">
        <f>EDATE($EF$19,6)</f>
        <v>23923</v>
      </c>
      <c r="EH19" s="216">
        <f>EDATE($EG$19,6)</f>
        <v>24106</v>
      </c>
      <c r="EI19" s="216">
        <f>EDATE($EH$19,6)</f>
        <v>24288</v>
      </c>
      <c r="EJ19" s="216">
        <f>EDATE($EI$19,6)</f>
        <v>24471</v>
      </c>
      <c r="EK19" s="216">
        <f>EDATE($EJ$19,6)</f>
        <v>24653</v>
      </c>
      <c r="EL19" s="216">
        <f>EDATE($EK$19,6)</f>
        <v>24836</v>
      </c>
      <c r="EM19" s="216">
        <f>EDATE($EL$19,6)</f>
        <v>25019</v>
      </c>
      <c r="EN19" s="216">
        <f>EDATE($EM$19,6)</f>
        <v>25202</v>
      </c>
      <c r="EO19" s="216">
        <f>EDATE($EN$19,6)</f>
        <v>25384</v>
      </c>
      <c r="EP19" s="216">
        <f>EDATE($EO$19,6)</f>
        <v>25567</v>
      </c>
      <c r="EQ19" s="216">
        <f>EDATE($EP$19,6)</f>
        <v>25749</v>
      </c>
      <c r="ER19" s="216">
        <f>EDATE($EQ$19,6)</f>
        <v>25932</v>
      </c>
      <c r="ES19" s="216">
        <f>EDATE($ER$19,6)</f>
        <v>26114</v>
      </c>
      <c r="ET19" s="216">
        <f>EDATE($ES$19,6)</f>
        <v>26297</v>
      </c>
      <c r="EU19" s="216">
        <f>EDATE($ET$19,6)</f>
        <v>26480</v>
      </c>
      <c r="EV19" s="216">
        <f>EDATE($EU$19,6)</f>
        <v>26663</v>
      </c>
      <c r="EW19" s="216">
        <f>EDATE($EV$19,6)</f>
        <v>26845</v>
      </c>
      <c r="EX19" s="216">
        <f>EDATE($EW$19,6)</f>
        <v>27028</v>
      </c>
      <c r="EY19" s="216">
        <f>EDATE($EX$19,6)</f>
        <v>27210</v>
      </c>
      <c r="EZ19" s="216">
        <f>EDATE($EY$19,6)</f>
        <v>27393</v>
      </c>
      <c r="FA19" s="216">
        <f>EDATE($EZ$19,6)</f>
        <v>27575</v>
      </c>
      <c r="FB19" s="216">
        <f>EDATE($FA$19,6)</f>
        <v>27758</v>
      </c>
      <c r="FC19" s="216">
        <f>EDATE($FB$19,6)</f>
        <v>27941</v>
      </c>
      <c r="FD19" s="216">
        <f>EDATE($FC$19,6)</f>
        <v>28124</v>
      </c>
      <c r="FE19" s="216">
        <f>EDATE($FD$19,6)</f>
        <v>28306</v>
      </c>
      <c r="FF19" s="216">
        <f>EDATE($FE$19,6)</f>
        <v>28489</v>
      </c>
      <c r="FG19" s="216">
        <f>EDATE($FF$19,6)</f>
        <v>28671</v>
      </c>
      <c r="FH19" s="216">
        <f>EDATE($FG$19,6)</f>
        <v>28854</v>
      </c>
      <c r="FI19" s="216">
        <f>EDATE($FH$19,6)</f>
        <v>29036</v>
      </c>
      <c r="FJ19" s="216">
        <f>EDATE($FI$19,6)</f>
        <v>29219</v>
      </c>
      <c r="FK19" s="216">
        <f>EDATE($FJ$19,6)</f>
        <v>29402</v>
      </c>
      <c r="FL19" s="216">
        <f>EDATE($FK$19,6)</f>
        <v>29585</v>
      </c>
      <c r="FM19" s="216">
        <f>EDATE($FL$19,6)</f>
        <v>29767</v>
      </c>
      <c r="FN19" s="216">
        <f>EDATE($FM$19,6)</f>
        <v>29950</v>
      </c>
      <c r="FO19" s="216">
        <f>EDATE($FN$19,6)</f>
        <v>30132</v>
      </c>
      <c r="FP19" s="216">
        <f>EDATE($FO$19,6)</f>
        <v>30315</v>
      </c>
      <c r="FQ19" s="216">
        <f>EDATE($FP$19,6)</f>
        <v>30497</v>
      </c>
      <c r="FR19" s="216">
        <f>EDATE($FQ$19,6)</f>
        <v>30680</v>
      </c>
      <c r="FS19" s="216">
        <f>EDATE($FR$19,6)</f>
        <v>30863</v>
      </c>
      <c r="FT19" s="216">
        <f>EDATE($FS$19,6)</f>
        <v>31046</v>
      </c>
      <c r="FU19" s="216">
        <f>EDATE($FT$19,6)</f>
        <v>31228</v>
      </c>
      <c r="FV19" s="216">
        <f>EDATE($FU$19,6)</f>
        <v>31411</v>
      </c>
      <c r="FW19" s="216">
        <f>EDATE($FV$19,6)</f>
        <v>31593</v>
      </c>
      <c r="FX19" s="216">
        <f>EDATE($FW$19,6)</f>
        <v>31776</v>
      </c>
      <c r="FY19" s="216">
        <f>EDATE($FX$19,6)</f>
        <v>31958</v>
      </c>
      <c r="FZ19" s="216">
        <f>EDATE($FY$19,6)</f>
        <v>32141</v>
      </c>
      <c r="GA19" s="216">
        <f>EDATE($FZ$19,6)</f>
        <v>32324</v>
      </c>
      <c r="GB19" s="216">
        <f>EDATE($GA$19,6)</f>
        <v>32507</v>
      </c>
      <c r="GC19" s="216">
        <f>EDATE($GB$19,6)</f>
        <v>32689</v>
      </c>
      <c r="GD19" s="216">
        <f>EDATE($GC$19,6)</f>
        <v>32872</v>
      </c>
      <c r="GE19" s="216">
        <f>EDATE($GD$19,6)</f>
        <v>33054</v>
      </c>
      <c r="GF19" s="216">
        <f>EDATE($GE$19,6)</f>
        <v>33237</v>
      </c>
      <c r="GG19" s="216">
        <f>EDATE($GF$19,6)</f>
        <v>33419</v>
      </c>
      <c r="GH19" s="216">
        <f>EDATE($GG$19,6)</f>
        <v>33602</v>
      </c>
      <c r="GI19" s="216">
        <f>EDATE($GH$19,6)</f>
        <v>33785</v>
      </c>
      <c r="GJ19" s="216">
        <f>EDATE($GI$19,6)</f>
        <v>33968</v>
      </c>
      <c r="GK19" s="216">
        <f>EDATE($GJ$19,6)</f>
        <v>34150</v>
      </c>
      <c r="GL19" s="216">
        <f>EDATE($GK$19,6)</f>
        <v>34333</v>
      </c>
      <c r="GM19" s="216">
        <f>EDATE($GL$19,6)</f>
        <v>34515</v>
      </c>
      <c r="GN19" s="216">
        <f>EDATE($GM$19,6)</f>
        <v>34698</v>
      </c>
      <c r="GO19" s="216">
        <f>EDATE($GN$19,6)</f>
        <v>34880</v>
      </c>
      <c r="GP19" s="216">
        <f>EDATE($GO$19,6)</f>
        <v>35063</v>
      </c>
      <c r="GQ19" s="216">
        <f>EDATE($GP$19,6)</f>
        <v>35246</v>
      </c>
      <c r="GR19" s="216">
        <f>EDATE($GQ$19,6)</f>
        <v>35429</v>
      </c>
      <c r="GS19" s="216">
        <f>EDATE($GR$19,6)</f>
        <v>35611</v>
      </c>
      <c r="GT19" s="216">
        <f>EDATE($GS$19,6)</f>
        <v>35794</v>
      </c>
      <c r="GU19" s="216">
        <f>EDATE($GT$19,6)</f>
        <v>35976</v>
      </c>
      <c r="GV19" s="216">
        <f>EDATE($GU$19,6)</f>
        <v>36159</v>
      </c>
      <c r="GW19" s="216">
        <f>EDATE($GV$19,6)</f>
        <v>36341</v>
      </c>
      <c r="GX19" s="216">
        <f>EDATE($GW$19,6)</f>
        <v>36524</v>
      </c>
      <c r="GY19" s="216">
        <f>EDATE($GX$19,6)</f>
        <v>36707</v>
      </c>
      <c r="GZ19" s="216">
        <f>EDATE($GY$19,6)</f>
        <v>36890</v>
      </c>
      <c r="HA19" s="216">
        <f>EDATE($GZ$19,6)</f>
        <v>37072</v>
      </c>
      <c r="HB19" s="216">
        <f>EDATE($HA$19,6)</f>
        <v>37255</v>
      </c>
      <c r="HC19" s="216">
        <f>EDATE($HB$19,6)</f>
        <v>37437</v>
      </c>
      <c r="HD19" s="216">
        <f>EDATE($HC$19,6)</f>
        <v>37620</v>
      </c>
      <c r="HE19" s="216">
        <f>EDATE($HD$19,6)</f>
        <v>37802</v>
      </c>
      <c r="HF19" s="216">
        <f>EDATE($HE$19,6)</f>
        <v>37985</v>
      </c>
      <c r="HG19" s="216">
        <f>EDATE($HF$19,6)</f>
        <v>38168</v>
      </c>
      <c r="HH19" s="216">
        <f>EDATE($HG$19,6)</f>
        <v>38351</v>
      </c>
      <c r="HI19" s="216">
        <f>EDATE($HH$19,6)</f>
        <v>38533</v>
      </c>
      <c r="HJ19" s="216">
        <f>EDATE($HI$19,6)</f>
        <v>38716</v>
      </c>
      <c r="HK19" s="216">
        <f>EDATE($HJ$19,6)</f>
        <v>38898</v>
      </c>
      <c r="HL19" s="216">
        <f>EDATE($HK$19,6)</f>
        <v>39081</v>
      </c>
      <c r="HM19" s="216">
        <f>EDATE($HL$19,6)</f>
        <v>39263</v>
      </c>
      <c r="HN19" s="216">
        <f>EDATE($HM$19,6)</f>
        <v>39446</v>
      </c>
      <c r="HO19" s="216">
        <f>EDATE($HN$19,6)</f>
        <v>39629</v>
      </c>
      <c r="HP19" s="216">
        <f>EDATE($HO$19,6)</f>
        <v>39812</v>
      </c>
      <c r="HQ19" s="216">
        <f>EDATE($HP$19,6)</f>
        <v>39994</v>
      </c>
      <c r="HR19" s="216">
        <f>EDATE($HQ$19,6)</f>
        <v>40177</v>
      </c>
      <c r="HS19" s="216">
        <f>EDATE($HR$19,6)</f>
        <v>40359</v>
      </c>
      <c r="HT19" s="216">
        <f>EDATE($HS$19,6)</f>
        <v>40542</v>
      </c>
      <c r="HU19" s="216">
        <f>EDATE($HT$19,6)</f>
        <v>40724</v>
      </c>
      <c r="HV19" s="216">
        <f>EDATE($HU$19,6)</f>
        <v>40907</v>
      </c>
      <c r="HW19" s="216">
        <f>EDATE($HV$19,6)</f>
        <v>41090</v>
      </c>
      <c r="HX19" s="216">
        <f>EDATE($HW$19,6)</f>
        <v>41273</v>
      </c>
      <c r="HY19" s="216">
        <f>EDATE($HX$19,6)</f>
        <v>41455</v>
      </c>
      <c r="HZ19" s="216">
        <f>EDATE($HY$19,6)</f>
        <v>41638</v>
      </c>
      <c r="IA19" s="216">
        <f>EDATE($HZ$19,6)</f>
        <v>41820</v>
      </c>
      <c r="IB19" s="216">
        <f>EDATE($IA$19,6)</f>
        <v>42003</v>
      </c>
      <c r="IC19" s="216">
        <f>EDATE($IB$19,6)</f>
        <v>42185</v>
      </c>
      <c r="ID19" s="216">
        <f>EDATE($IC$19,6)</f>
        <v>42368</v>
      </c>
      <c r="IE19" s="216">
        <f>EDATE($ID$19,6)</f>
        <v>42551</v>
      </c>
      <c r="IF19" s="216">
        <f>EDATE($IE$19,6)</f>
        <v>42734</v>
      </c>
      <c r="IG19" s="216">
        <f>EDATE($IF$19,6)</f>
        <v>42916</v>
      </c>
      <c r="IH19" s="216">
        <f>EDATE($IG$19,6)</f>
        <v>43099</v>
      </c>
      <c r="II19" s="216">
        <f>EDATE($IH$19,6)</f>
        <v>43281</v>
      </c>
      <c r="IJ19" s="216">
        <f>EDATE($II$19,6)</f>
        <v>43464</v>
      </c>
      <c r="IK19" s="216">
        <f>EDATE($IJ$19,6)</f>
        <v>43646</v>
      </c>
      <c r="IL19" s="216">
        <f>EDATE($IK$19,6)</f>
        <v>43829</v>
      </c>
      <c r="IM19" s="216">
        <f>EDATE($IL$19,6)</f>
        <v>44012</v>
      </c>
      <c r="IN19" s="216">
        <f>EDATE($IM$19,6)</f>
        <v>44195</v>
      </c>
      <c r="IO19" s="216">
        <f>EDATE($IN$19,6)</f>
        <v>44377</v>
      </c>
      <c r="IP19" s="216">
        <f>EDATE($IO$19,6)</f>
        <v>44560</v>
      </c>
      <c r="IQ19" s="216">
        <f>EDATE($IP$19,6)</f>
        <v>44742</v>
      </c>
      <c r="IR19" s="216">
        <f>EDATE($IQ$19,6)</f>
        <v>44925</v>
      </c>
      <c r="IS19" s="216">
        <f>EDATE($IR$19,6)</f>
        <v>45107</v>
      </c>
      <c r="IT19" s="216">
        <f>EDATE($IS$19,6)</f>
        <v>45290</v>
      </c>
      <c r="IU19" s="216">
        <f>EDATE($IT$19,6)</f>
        <v>45473</v>
      </c>
      <c r="IV19" s="216">
        <f>EDATE($IU$19,6)</f>
        <v>45656</v>
      </c>
      <c r="IW19" s="216">
        <f>EDATE($IV$19,6)</f>
        <v>45838</v>
      </c>
      <c r="IX19" s="216">
        <f>EDATE($IW$19,6)</f>
        <v>46021</v>
      </c>
      <c r="IY19" s="216">
        <f>EDATE($IX$19,6)</f>
        <v>46203</v>
      </c>
      <c r="IZ19" s="216">
        <f>EDATE($IY$19,6)</f>
        <v>46386</v>
      </c>
      <c r="JA19" s="216">
        <f>EDATE($IZ$19,6)</f>
        <v>46568</v>
      </c>
      <c r="JB19" s="216">
        <f>EDATE($JA$19,6)</f>
        <v>46751</v>
      </c>
      <c r="JC19" s="216">
        <f>EDATE($JB$19,6)</f>
        <v>46934</v>
      </c>
      <c r="JD19" s="216">
        <f>EDATE($JC$19,6)</f>
        <v>47117</v>
      </c>
      <c r="JE19" s="216">
        <f>EDATE($JD$19,6)</f>
        <v>47299</v>
      </c>
      <c r="JF19" s="216">
        <f>EDATE($JE$19,6)</f>
        <v>47482</v>
      </c>
      <c r="JG19" s="216">
        <f>EDATE($JF$19,6)</f>
        <v>47664</v>
      </c>
    </row>
    <row r="20" spans="1:267">
      <c r="B20">
        <f ca="1">OFFSET(intercambio!$D$1,MATCH("Nueva emisión",intercambio!$D:$D,0)-1,1)</f>
        <v>0</v>
      </c>
      <c r="C20" s="217" t="e">
        <f ca="1">OFFSET(intercambio!$D$1,MATCH("Nueva emisión",intercambio!$D:$D,0)-1,3)</f>
        <v>#NAME?</v>
      </c>
      <c r="D20" s="218" t="e">
        <f ca="1">OFFSET(intercambio!$D$1,MATCH("Nueva emisión",intercambio!$D:$D,0)-1,8)</f>
        <v>#DIV/0!</v>
      </c>
      <c r="E20" t="s">
        <v>592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 s="218" t="e">
        <f ca="1">OFFSET($A$1,MATCH($A$19,A:A,0),3)</f>
        <v>#DIV/0!</v>
      </c>
    </row>
    <row r="21" spans="1:267">
      <c r="E21" t="s">
        <v>585</v>
      </c>
      <c r="F21" s="218" t="e">
        <f t="shared" ref="F21:BQ21" ca="1" si="3">$C$20*$D$20/200</f>
        <v>#NAME?</v>
      </c>
      <c r="G21" s="218" t="e">
        <f t="shared" ca="1" si="3"/>
        <v>#NAME?</v>
      </c>
      <c r="H21" s="218" t="e">
        <f t="shared" ca="1" si="3"/>
        <v>#NAME?</v>
      </c>
      <c r="I21" s="218" t="e">
        <f t="shared" ca="1" si="3"/>
        <v>#NAME?</v>
      </c>
      <c r="J21" s="218" t="e">
        <f t="shared" ca="1" si="3"/>
        <v>#NAME?</v>
      </c>
      <c r="K21" s="218" t="e">
        <f t="shared" ca="1" si="3"/>
        <v>#NAME?</v>
      </c>
      <c r="L21" s="218" t="e">
        <f t="shared" ca="1" si="3"/>
        <v>#NAME?</v>
      </c>
      <c r="M21" s="218" t="e">
        <f t="shared" ca="1" si="3"/>
        <v>#NAME?</v>
      </c>
      <c r="N21" s="218" t="e">
        <f t="shared" ca="1" si="3"/>
        <v>#NAME?</v>
      </c>
      <c r="O21" s="218" t="e">
        <f t="shared" ca="1" si="3"/>
        <v>#NAME?</v>
      </c>
      <c r="P21" s="218" t="e">
        <f t="shared" ca="1" si="3"/>
        <v>#NAME?</v>
      </c>
      <c r="Q21" s="218" t="e">
        <f t="shared" ca="1" si="3"/>
        <v>#NAME?</v>
      </c>
      <c r="R21" s="218" t="e">
        <f t="shared" ca="1" si="3"/>
        <v>#NAME?</v>
      </c>
      <c r="S21" s="218" t="e">
        <f t="shared" ca="1" si="3"/>
        <v>#NAME?</v>
      </c>
      <c r="T21" s="218" t="e">
        <f t="shared" ca="1" si="3"/>
        <v>#NAME?</v>
      </c>
      <c r="U21" s="218" t="e">
        <f t="shared" ca="1" si="3"/>
        <v>#NAME?</v>
      </c>
      <c r="V21" s="218" t="e">
        <f t="shared" ca="1" si="3"/>
        <v>#NAME?</v>
      </c>
      <c r="W21" s="218" t="e">
        <f t="shared" ca="1" si="3"/>
        <v>#NAME?</v>
      </c>
      <c r="X21" s="218" t="e">
        <f t="shared" ca="1" si="3"/>
        <v>#NAME?</v>
      </c>
      <c r="Y21" s="218" t="e">
        <f t="shared" ca="1" si="3"/>
        <v>#NAME?</v>
      </c>
      <c r="Z21" s="218" t="e">
        <f t="shared" ca="1" si="3"/>
        <v>#NAME?</v>
      </c>
      <c r="AA21" s="218" t="e">
        <f t="shared" ca="1" si="3"/>
        <v>#NAME?</v>
      </c>
      <c r="AB21" s="218" t="e">
        <f t="shared" ca="1" si="3"/>
        <v>#NAME?</v>
      </c>
      <c r="AC21" s="218" t="e">
        <f t="shared" ca="1" si="3"/>
        <v>#NAME?</v>
      </c>
      <c r="AD21" s="218" t="e">
        <f t="shared" ca="1" si="3"/>
        <v>#NAME?</v>
      </c>
      <c r="AE21" s="218" t="e">
        <f t="shared" ca="1" si="3"/>
        <v>#NAME?</v>
      </c>
      <c r="AF21" s="218" t="e">
        <f t="shared" ca="1" si="3"/>
        <v>#NAME?</v>
      </c>
      <c r="AG21" s="218" t="e">
        <f t="shared" ca="1" si="3"/>
        <v>#NAME?</v>
      </c>
      <c r="AH21" s="218" t="e">
        <f t="shared" ca="1" si="3"/>
        <v>#NAME?</v>
      </c>
      <c r="AI21" s="218" t="e">
        <f t="shared" ca="1" si="3"/>
        <v>#NAME?</v>
      </c>
      <c r="AJ21" s="218" t="e">
        <f t="shared" ca="1" si="3"/>
        <v>#NAME?</v>
      </c>
      <c r="AK21" s="218" t="e">
        <f t="shared" ca="1" si="3"/>
        <v>#NAME?</v>
      </c>
      <c r="AL21" s="218" t="e">
        <f t="shared" ca="1" si="3"/>
        <v>#NAME?</v>
      </c>
      <c r="AM21" s="218" t="e">
        <f t="shared" ca="1" si="3"/>
        <v>#NAME?</v>
      </c>
      <c r="AN21" s="218" t="e">
        <f t="shared" ca="1" si="3"/>
        <v>#NAME?</v>
      </c>
      <c r="AO21" s="218" t="e">
        <f t="shared" ca="1" si="3"/>
        <v>#NAME?</v>
      </c>
      <c r="AP21" s="218" t="e">
        <f t="shared" ca="1" si="3"/>
        <v>#NAME?</v>
      </c>
      <c r="AQ21" s="218" t="e">
        <f t="shared" ca="1" si="3"/>
        <v>#NAME?</v>
      </c>
      <c r="AR21" s="218" t="e">
        <f t="shared" ca="1" si="3"/>
        <v>#NAME?</v>
      </c>
      <c r="AS21" s="218" t="e">
        <f t="shared" ca="1" si="3"/>
        <v>#NAME?</v>
      </c>
      <c r="AT21" s="218" t="e">
        <f t="shared" ca="1" si="3"/>
        <v>#NAME?</v>
      </c>
      <c r="AU21" s="218" t="e">
        <f t="shared" ca="1" si="3"/>
        <v>#NAME?</v>
      </c>
      <c r="AV21" s="218" t="e">
        <f t="shared" ca="1" si="3"/>
        <v>#NAME?</v>
      </c>
      <c r="AW21" s="218" t="e">
        <f t="shared" ca="1" si="3"/>
        <v>#NAME?</v>
      </c>
      <c r="AX21" s="218" t="e">
        <f t="shared" ca="1" si="3"/>
        <v>#NAME?</v>
      </c>
      <c r="AY21" s="218" t="e">
        <f t="shared" ca="1" si="3"/>
        <v>#NAME?</v>
      </c>
      <c r="AZ21" s="218" t="e">
        <f t="shared" ca="1" si="3"/>
        <v>#NAME?</v>
      </c>
      <c r="BA21" s="218" t="e">
        <f t="shared" ca="1" si="3"/>
        <v>#NAME?</v>
      </c>
      <c r="BB21" s="218" t="e">
        <f t="shared" ca="1" si="3"/>
        <v>#NAME?</v>
      </c>
      <c r="BC21" s="218" t="e">
        <f t="shared" ca="1" si="3"/>
        <v>#NAME?</v>
      </c>
      <c r="BD21" s="218" t="e">
        <f t="shared" ca="1" si="3"/>
        <v>#NAME?</v>
      </c>
      <c r="BE21" s="218" t="e">
        <f t="shared" ca="1" si="3"/>
        <v>#NAME?</v>
      </c>
      <c r="BF21" s="218" t="e">
        <f t="shared" ca="1" si="3"/>
        <v>#NAME?</v>
      </c>
      <c r="BG21" s="218" t="e">
        <f t="shared" ca="1" si="3"/>
        <v>#NAME?</v>
      </c>
      <c r="BH21" s="218" t="e">
        <f t="shared" ca="1" si="3"/>
        <v>#NAME?</v>
      </c>
      <c r="BI21" s="218" t="e">
        <f t="shared" ca="1" si="3"/>
        <v>#NAME?</v>
      </c>
      <c r="BJ21" s="218" t="e">
        <f t="shared" ca="1" si="3"/>
        <v>#NAME?</v>
      </c>
      <c r="BK21" s="218" t="e">
        <f t="shared" ca="1" si="3"/>
        <v>#NAME?</v>
      </c>
      <c r="BL21" s="218" t="e">
        <f t="shared" ca="1" si="3"/>
        <v>#NAME?</v>
      </c>
      <c r="BM21" s="218" t="e">
        <f t="shared" ca="1" si="3"/>
        <v>#NAME?</v>
      </c>
      <c r="BN21" s="218" t="e">
        <f t="shared" ca="1" si="3"/>
        <v>#NAME?</v>
      </c>
      <c r="BO21" s="218" t="e">
        <f t="shared" ca="1" si="3"/>
        <v>#NAME?</v>
      </c>
      <c r="BP21" s="218" t="e">
        <f t="shared" ca="1" si="3"/>
        <v>#NAME?</v>
      </c>
      <c r="BQ21" s="218" t="e">
        <f t="shared" ca="1" si="3"/>
        <v>#NAME?</v>
      </c>
      <c r="BR21" s="218" t="e">
        <f t="shared" ref="BR21:EC21" ca="1" si="4">$C$20*$D$20/200</f>
        <v>#NAME?</v>
      </c>
      <c r="BS21" s="218" t="e">
        <f t="shared" ca="1" si="4"/>
        <v>#NAME?</v>
      </c>
      <c r="BT21" s="218" t="e">
        <f t="shared" ca="1" si="4"/>
        <v>#NAME?</v>
      </c>
      <c r="BU21" s="218" t="e">
        <f t="shared" ca="1" si="4"/>
        <v>#NAME?</v>
      </c>
      <c r="BV21" s="218" t="e">
        <f t="shared" ca="1" si="4"/>
        <v>#NAME?</v>
      </c>
      <c r="BW21" s="218" t="e">
        <f t="shared" ca="1" si="4"/>
        <v>#NAME?</v>
      </c>
      <c r="BX21" s="218" t="e">
        <f t="shared" ca="1" si="4"/>
        <v>#NAME?</v>
      </c>
      <c r="BY21" s="218" t="e">
        <f t="shared" ca="1" si="4"/>
        <v>#NAME?</v>
      </c>
      <c r="BZ21" s="218" t="e">
        <f t="shared" ca="1" si="4"/>
        <v>#NAME?</v>
      </c>
      <c r="CA21" s="218" t="e">
        <f t="shared" ca="1" si="4"/>
        <v>#NAME?</v>
      </c>
      <c r="CB21" s="218" t="e">
        <f t="shared" ca="1" si="4"/>
        <v>#NAME?</v>
      </c>
      <c r="CC21" s="218" t="e">
        <f t="shared" ca="1" si="4"/>
        <v>#NAME?</v>
      </c>
      <c r="CD21" s="218" t="e">
        <f t="shared" ca="1" si="4"/>
        <v>#NAME?</v>
      </c>
      <c r="CE21" s="218" t="e">
        <f t="shared" ca="1" si="4"/>
        <v>#NAME?</v>
      </c>
      <c r="CF21" s="218" t="e">
        <f t="shared" ca="1" si="4"/>
        <v>#NAME?</v>
      </c>
      <c r="CG21" s="218" t="e">
        <f t="shared" ca="1" si="4"/>
        <v>#NAME?</v>
      </c>
      <c r="CH21" s="218" t="e">
        <f t="shared" ca="1" si="4"/>
        <v>#NAME?</v>
      </c>
      <c r="CI21" s="218" t="e">
        <f t="shared" ca="1" si="4"/>
        <v>#NAME?</v>
      </c>
      <c r="CJ21" s="218" t="e">
        <f t="shared" ca="1" si="4"/>
        <v>#NAME?</v>
      </c>
      <c r="CK21" s="218" t="e">
        <f t="shared" ca="1" si="4"/>
        <v>#NAME?</v>
      </c>
      <c r="CL21" s="218" t="e">
        <f t="shared" ca="1" si="4"/>
        <v>#NAME?</v>
      </c>
      <c r="CM21" s="218" t="e">
        <f t="shared" ca="1" si="4"/>
        <v>#NAME?</v>
      </c>
      <c r="CN21" s="218" t="e">
        <f t="shared" ca="1" si="4"/>
        <v>#NAME?</v>
      </c>
      <c r="CO21" s="218" t="e">
        <f t="shared" ca="1" si="4"/>
        <v>#NAME?</v>
      </c>
      <c r="CP21" s="218" t="e">
        <f t="shared" ca="1" si="4"/>
        <v>#NAME?</v>
      </c>
      <c r="CQ21" s="218" t="e">
        <f t="shared" ca="1" si="4"/>
        <v>#NAME?</v>
      </c>
      <c r="CR21" s="218" t="e">
        <f t="shared" ca="1" si="4"/>
        <v>#NAME?</v>
      </c>
      <c r="CS21" s="218" t="e">
        <f t="shared" ca="1" si="4"/>
        <v>#NAME?</v>
      </c>
      <c r="CT21" s="218" t="e">
        <f t="shared" ca="1" si="4"/>
        <v>#NAME?</v>
      </c>
      <c r="CU21" s="218" t="e">
        <f t="shared" ca="1" si="4"/>
        <v>#NAME?</v>
      </c>
      <c r="CV21" s="218" t="e">
        <f t="shared" ca="1" si="4"/>
        <v>#NAME?</v>
      </c>
      <c r="CW21" s="218" t="e">
        <f t="shared" ca="1" si="4"/>
        <v>#NAME?</v>
      </c>
      <c r="CX21" s="218" t="e">
        <f t="shared" ca="1" si="4"/>
        <v>#NAME?</v>
      </c>
      <c r="CY21" s="218" t="e">
        <f t="shared" ca="1" si="4"/>
        <v>#NAME?</v>
      </c>
      <c r="CZ21" s="218" t="e">
        <f t="shared" ca="1" si="4"/>
        <v>#NAME?</v>
      </c>
      <c r="DA21" s="218" t="e">
        <f t="shared" ca="1" si="4"/>
        <v>#NAME?</v>
      </c>
      <c r="DB21" s="218" t="e">
        <f t="shared" ca="1" si="4"/>
        <v>#NAME?</v>
      </c>
      <c r="DC21" s="218" t="e">
        <f t="shared" ca="1" si="4"/>
        <v>#NAME?</v>
      </c>
      <c r="DD21" s="218" t="e">
        <f t="shared" ca="1" si="4"/>
        <v>#NAME?</v>
      </c>
      <c r="DE21" s="218" t="e">
        <f t="shared" ca="1" si="4"/>
        <v>#NAME?</v>
      </c>
      <c r="DF21" s="218" t="e">
        <f t="shared" ca="1" si="4"/>
        <v>#NAME?</v>
      </c>
      <c r="DG21" s="218" t="e">
        <f t="shared" ca="1" si="4"/>
        <v>#NAME?</v>
      </c>
      <c r="DH21" s="218" t="e">
        <f t="shared" ca="1" si="4"/>
        <v>#NAME?</v>
      </c>
      <c r="DI21" s="218" t="e">
        <f t="shared" ca="1" si="4"/>
        <v>#NAME?</v>
      </c>
      <c r="DJ21" s="218" t="e">
        <f t="shared" ca="1" si="4"/>
        <v>#NAME?</v>
      </c>
      <c r="DK21" s="218" t="e">
        <f t="shared" ca="1" si="4"/>
        <v>#NAME?</v>
      </c>
      <c r="DL21" s="218" t="e">
        <f t="shared" ca="1" si="4"/>
        <v>#NAME?</v>
      </c>
      <c r="DM21" s="218" t="e">
        <f t="shared" ca="1" si="4"/>
        <v>#NAME?</v>
      </c>
      <c r="DN21" s="218" t="e">
        <f t="shared" ca="1" si="4"/>
        <v>#NAME?</v>
      </c>
      <c r="DO21" s="218" t="e">
        <f t="shared" ca="1" si="4"/>
        <v>#NAME?</v>
      </c>
      <c r="DP21" s="218" t="e">
        <f t="shared" ca="1" si="4"/>
        <v>#NAME?</v>
      </c>
      <c r="DQ21" s="218" t="e">
        <f t="shared" ca="1" si="4"/>
        <v>#NAME?</v>
      </c>
      <c r="DR21" s="218" t="e">
        <f t="shared" ca="1" si="4"/>
        <v>#NAME?</v>
      </c>
      <c r="DS21" s="218" t="e">
        <f t="shared" ca="1" si="4"/>
        <v>#NAME?</v>
      </c>
      <c r="DT21" s="218" t="e">
        <f t="shared" ca="1" si="4"/>
        <v>#NAME?</v>
      </c>
      <c r="DU21" s="218" t="e">
        <f t="shared" ca="1" si="4"/>
        <v>#NAME?</v>
      </c>
      <c r="DV21" s="218" t="e">
        <f t="shared" ca="1" si="4"/>
        <v>#NAME?</v>
      </c>
      <c r="DW21" s="218" t="e">
        <f t="shared" ca="1" si="4"/>
        <v>#NAME?</v>
      </c>
      <c r="DX21" s="218" t="e">
        <f t="shared" ca="1" si="4"/>
        <v>#NAME?</v>
      </c>
      <c r="DY21" s="218" t="e">
        <f t="shared" ca="1" si="4"/>
        <v>#NAME?</v>
      </c>
      <c r="DZ21" s="218" t="e">
        <f t="shared" ca="1" si="4"/>
        <v>#NAME?</v>
      </c>
      <c r="EA21" s="218" t="e">
        <f t="shared" ca="1" si="4"/>
        <v>#NAME?</v>
      </c>
      <c r="EB21" s="218" t="e">
        <f t="shared" ca="1" si="4"/>
        <v>#NAME?</v>
      </c>
      <c r="EC21" s="218" t="e">
        <f t="shared" ca="1" si="4"/>
        <v>#NAME?</v>
      </c>
      <c r="ED21" s="218" t="e">
        <f t="shared" ref="ED21:GO21" ca="1" si="5">$C$20*$D$20/200</f>
        <v>#NAME?</v>
      </c>
      <c r="EE21" s="218" t="e">
        <f t="shared" ca="1" si="5"/>
        <v>#NAME?</v>
      </c>
      <c r="EF21" s="218" t="e">
        <f t="shared" ca="1" si="5"/>
        <v>#NAME?</v>
      </c>
      <c r="EG21" s="218" t="e">
        <f t="shared" ca="1" si="5"/>
        <v>#NAME?</v>
      </c>
      <c r="EH21" s="218" t="e">
        <f t="shared" ca="1" si="5"/>
        <v>#NAME?</v>
      </c>
      <c r="EI21" s="218" t="e">
        <f t="shared" ca="1" si="5"/>
        <v>#NAME?</v>
      </c>
      <c r="EJ21" s="218" t="e">
        <f t="shared" ca="1" si="5"/>
        <v>#NAME?</v>
      </c>
      <c r="EK21" s="218" t="e">
        <f t="shared" ca="1" si="5"/>
        <v>#NAME?</v>
      </c>
      <c r="EL21" s="218" t="e">
        <f t="shared" ca="1" si="5"/>
        <v>#NAME?</v>
      </c>
      <c r="EM21" s="218" t="e">
        <f t="shared" ca="1" si="5"/>
        <v>#NAME?</v>
      </c>
      <c r="EN21" s="218" t="e">
        <f t="shared" ca="1" si="5"/>
        <v>#NAME?</v>
      </c>
      <c r="EO21" s="218" t="e">
        <f t="shared" ca="1" si="5"/>
        <v>#NAME?</v>
      </c>
      <c r="EP21" s="218" t="e">
        <f t="shared" ca="1" si="5"/>
        <v>#NAME?</v>
      </c>
      <c r="EQ21" s="218" t="e">
        <f t="shared" ca="1" si="5"/>
        <v>#NAME?</v>
      </c>
      <c r="ER21" s="218" t="e">
        <f t="shared" ca="1" si="5"/>
        <v>#NAME?</v>
      </c>
      <c r="ES21" s="218" t="e">
        <f t="shared" ca="1" si="5"/>
        <v>#NAME?</v>
      </c>
      <c r="ET21" s="218" t="e">
        <f t="shared" ca="1" si="5"/>
        <v>#NAME?</v>
      </c>
      <c r="EU21" s="218" t="e">
        <f t="shared" ca="1" si="5"/>
        <v>#NAME?</v>
      </c>
      <c r="EV21" s="218" t="e">
        <f t="shared" ca="1" si="5"/>
        <v>#NAME?</v>
      </c>
      <c r="EW21" s="218" t="e">
        <f t="shared" ca="1" si="5"/>
        <v>#NAME?</v>
      </c>
      <c r="EX21" s="218" t="e">
        <f t="shared" ca="1" si="5"/>
        <v>#NAME?</v>
      </c>
      <c r="EY21" s="218" t="e">
        <f t="shared" ca="1" si="5"/>
        <v>#NAME?</v>
      </c>
      <c r="EZ21" s="218" t="e">
        <f t="shared" ca="1" si="5"/>
        <v>#NAME?</v>
      </c>
      <c r="FA21" s="218" t="e">
        <f t="shared" ca="1" si="5"/>
        <v>#NAME?</v>
      </c>
      <c r="FB21" s="218" t="e">
        <f t="shared" ca="1" si="5"/>
        <v>#NAME?</v>
      </c>
      <c r="FC21" s="218" t="e">
        <f t="shared" ca="1" si="5"/>
        <v>#NAME?</v>
      </c>
      <c r="FD21" s="218" t="e">
        <f t="shared" ca="1" si="5"/>
        <v>#NAME?</v>
      </c>
      <c r="FE21" s="218" t="e">
        <f t="shared" ca="1" si="5"/>
        <v>#NAME?</v>
      </c>
      <c r="FF21" s="218" t="e">
        <f t="shared" ca="1" si="5"/>
        <v>#NAME?</v>
      </c>
      <c r="FG21" s="218" t="e">
        <f t="shared" ca="1" si="5"/>
        <v>#NAME?</v>
      </c>
      <c r="FH21" s="218" t="e">
        <f t="shared" ca="1" si="5"/>
        <v>#NAME?</v>
      </c>
      <c r="FI21" s="218" t="e">
        <f t="shared" ca="1" si="5"/>
        <v>#NAME?</v>
      </c>
      <c r="FJ21" s="218" t="e">
        <f t="shared" ca="1" si="5"/>
        <v>#NAME?</v>
      </c>
      <c r="FK21" s="218" t="e">
        <f t="shared" ca="1" si="5"/>
        <v>#NAME?</v>
      </c>
      <c r="FL21" s="218" t="e">
        <f t="shared" ca="1" si="5"/>
        <v>#NAME?</v>
      </c>
      <c r="FM21" s="218" t="e">
        <f t="shared" ca="1" si="5"/>
        <v>#NAME?</v>
      </c>
      <c r="FN21" s="218" t="e">
        <f t="shared" ca="1" si="5"/>
        <v>#NAME?</v>
      </c>
      <c r="FO21" s="218" t="e">
        <f t="shared" ca="1" si="5"/>
        <v>#NAME?</v>
      </c>
      <c r="FP21" s="218" t="e">
        <f t="shared" ca="1" si="5"/>
        <v>#NAME?</v>
      </c>
      <c r="FQ21" s="218" t="e">
        <f t="shared" ca="1" si="5"/>
        <v>#NAME?</v>
      </c>
      <c r="FR21" s="218" t="e">
        <f t="shared" ca="1" si="5"/>
        <v>#NAME?</v>
      </c>
      <c r="FS21" s="218" t="e">
        <f t="shared" ca="1" si="5"/>
        <v>#NAME?</v>
      </c>
      <c r="FT21" s="218" t="e">
        <f t="shared" ca="1" si="5"/>
        <v>#NAME?</v>
      </c>
      <c r="FU21" s="218" t="e">
        <f t="shared" ca="1" si="5"/>
        <v>#NAME?</v>
      </c>
      <c r="FV21" s="218" t="e">
        <f t="shared" ca="1" si="5"/>
        <v>#NAME?</v>
      </c>
      <c r="FW21" s="218" t="e">
        <f t="shared" ca="1" si="5"/>
        <v>#NAME?</v>
      </c>
      <c r="FX21" s="218" t="e">
        <f t="shared" ca="1" si="5"/>
        <v>#NAME?</v>
      </c>
      <c r="FY21" s="218" t="e">
        <f t="shared" ca="1" si="5"/>
        <v>#NAME?</v>
      </c>
      <c r="FZ21" s="218" t="e">
        <f t="shared" ca="1" si="5"/>
        <v>#NAME?</v>
      </c>
      <c r="GA21" s="218" t="e">
        <f t="shared" ca="1" si="5"/>
        <v>#NAME?</v>
      </c>
      <c r="GB21" s="218" t="e">
        <f t="shared" ca="1" si="5"/>
        <v>#NAME?</v>
      </c>
      <c r="GC21" s="218" t="e">
        <f t="shared" ca="1" si="5"/>
        <v>#NAME?</v>
      </c>
      <c r="GD21" s="218" t="e">
        <f t="shared" ca="1" si="5"/>
        <v>#NAME?</v>
      </c>
      <c r="GE21" s="218" t="e">
        <f t="shared" ca="1" si="5"/>
        <v>#NAME?</v>
      </c>
      <c r="GF21" s="218" t="e">
        <f t="shared" ca="1" si="5"/>
        <v>#NAME?</v>
      </c>
      <c r="GG21" s="218" t="e">
        <f t="shared" ca="1" si="5"/>
        <v>#NAME?</v>
      </c>
      <c r="GH21" s="218" t="e">
        <f t="shared" ca="1" si="5"/>
        <v>#NAME?</v>
      </c>
      <c r="GI21" s="218" t="e">
        <f t="shared" ca="1" si="5"/>
        <v>#NAME?</v>
      </c>
      <c r="GJ21" s="218" t="e">
        <f t="shared" ca="1" si="5"/>
        <v>#NAME?</v>
      </c>
      <c r="GK21" s="218" t="e">
        <f t="shared" ca="1" si="5"/>
        <v>#NAME?</v>
      </c>
      <c r="GL21" s="218" t="e">
        <f t="shared" ca="1" si="5"/>
        <v>#NAME?</v>
      </c>
      <c r="GM21" s="218" t="e">
        <f t="shared" ca="1" si="5"/>
        <v>#NAME?</v>
      </c>
      <c r="GN21" s="218" t="e">
        <f t="shared" ca="1" si="5"/>
        <v>#NAME?</v>
      </c>
      <c r="GO21" s="218" t="e">
        <f t="shared" ca="1" si="5"/>
        <v>#NAME?</v>
      </c>
      <c r="GP21" s="218" t="e">
        <f t="shared" ref="GP21:JA21" ca="1" si="6">$C$20*$D$20/200</f>
        <v>#NAME?</v>
      </c>
      <c r="GQ21" s="218" t="e">
        <f t="shared" ca="1" si="6"/>
        <v>#NAME?</v>
      </c>
      <c r="GR21" s="218" t="e">
        <f t="shared" ca="1" si="6"/>
        <v>#NAME?</v>
      </c>
      <c r="GS21" s="218" t="e">
        <f t="shared" ca="1" si="6"/>
        <v>#NAME?</v>
      </c>
      <c r="GT21" s="218" t="e">
        <f t="shared" ca="1" si="6"/>
        <v>#NAME?</v>
      </c>
      <c r="GU21" s="218" t="e">
        <f t="shared" ca="1" si="6"/>
        <v>#NAME?</v>
      </c>
      <c r="GV21" s="218" t="e">
        <f t="shared" ca="1" si="6"/>
        <v>#NAME?</v>
      </c>
      <c r="GW21" s="218" t="e">
        <f t="shared" ca="1" si="6"/>
        <v>#NAME?</v>
      </c>
      <c r="GX21" s="218" t="e">
        <f t="shared" ca="1" si="6"/>
        <v>#NAME?</v>
      </c>
      <c r="GY21" s="218" t="e">
        <f t="shared" ca="1" si="6"/>
        <v>#NAME?</v>
      </c>
      <c r="GZ21" s="218" t="e">
        <f t="shared" ca="1" si="6"/>
        <v>#NAME?</v>
      </c>
      <c r="HA21" s="218" t="e">
        <f t="shared" ca="1" si="6"/>
        <v>#NAME?</v>
      </c>
      <c r="HB21" s="218" t="e">
        <f t="shared" ca="1" si="6"/>
        <v>#NAME?</v>
      </c>
      <c r="HC21" s="218" t="e">
        <f t="shared" ca="1" si="6"/>
        <v>#NAME?</v>
      </c>
      <c r="HD21" s="218" t="e">
        <f t="shared" ca="1" si="6"/>
        <v>#NAME?</v>
      </c>
      <c r="HE21" s="218" t="e">
        <f t="shared" ca="1" si="6"/>
        <v>#NAME?</v>
      </c>
      <c r="HF21" s="218" t="e">
        <f t="shared" ca="1" si="6"/>
        <v>#NAME?</v>
      </c>
      <c r="HG21" s="218" t="e">
        <f t="shared" ca="1" si="6"/>
        <v>#NAME?</v>
      </c>
      <c r="HH21" s="218" t="e">
        <f t="shared" ca="1" si="6"/>
        <v>#NAME?</v>
      </c>
      <c r="HI21" s="218" t="e">
        <f t="shared" ca="1" si="6"/>
        <v>#NAME?</v>
      </c>
      <c r="HJ21" s="218" t="e">
        <f t="shared" ca="1" si="6"/>
        <v>#NAME?</v>
      </c>
      <c r="HK21" s="218" t="e">
        <f t="shared" ca="1" si="6"/>
        <v>#NAME?</v>
      </c>
      <c r="HL21" s="218" t="e">
        <f t="shared" ca="1" si="6"/>
        <v>#NAME?</v>
      </c>
      <c r="HM21" s="218" t="e">
        <f t="shared" ca="1" si="6"/>
        <v>#NAME?</v>
      </c>
      <c r="HN21" s="218" t="e">
        <f t="shared" ca="1" si="6"/>
        <v>#NAME?</v>
      </c>
      <c r="HO21" s="218" t="e">
        <f t="shared" ca="1" si="6"/>
        <v>#NAME?</v>
      </c>
      <c r="HP21" s="218" t="e">
        <f t="shared" ca="1" si="6"/>
        <v>#NAME?</v>
      </c>
      <c r="HQ21" s="218" t="e">
        <f t="shared" ca="1" si="6"/>
        <v>#NAME?</v>
      </c>
      <c r="HR21" s="218" t="e">
        <f t="shared" ca="1" si="6"/>
        <v>#NAME?</v>
      </c>
      <c r="HS21" s="218" t="e">
        <f t="shared" ca="1" si="6"/>
        <v>#NAME?</v>
      </c>
      <c r="HT21" s="218" t="e">
        <f t="shared" ca="1" si="6"/>
        <v>#NAME?</v>
      </c>
      <c r="HU21" s="218" t="e">
        <f t="shared" ca="1" si="6"/>
        <v>#NAME?</v>
      </c>
      <c r="HV21" s="218" t="e">
        <f t="shared" ca="1" si="6"/>
        <v>#NAME?</v>
      </c>
      <c r="HW21" s="218" t="e">
        <f t="shared" ca="1" si="6"/>
        <v>#NAME?</v>
      </c>
      <c r="HX21" s="218" t="e">
        <f t="shared" ca="1" si="6"/>
        <v>#NAME?</v>
      </c>
      <c r="HY21" s="218" t="e">
        <f t="shared" ca="1" si="6"/>
        <v>#NAME?</v>
      </c>
      <c r="HZ21" s="218" t="e">
        <f t="shared" ca="1" si="6"/>
        <v>#NAME?</v>
      </c>
      <c r="IA21" s="218" t="e">
        <f t="shared" ca="1" si="6"/>
        <v>#NAME?</v>
      </c>
      <c r="IB21" s="218" t="e">
        <f t="shared" ca="1" si="6"/>
        <v>#NAME?</v>
      </c>
      <c r="IC21" s="218" t="e">
        <f t="shared" ca="1" si="6"/>
        <v>#NAME?</v>
      </c>
      <c r="ID21" s="218" t="e">
        <f t="shared" ca="1" si="6"/>
        <v>#NAME?</v>
      </c>
      <c r="IE21" s="218" t="e">
        <f t="shared" ca="1" si="6"/>
        <v>#NAME?</v>
      </c>
      <c r="IF21" s="218" t="e">
        <f t="shared" ca="1" si="6"/>
        <v>#NAME?</v>
      </c>
      <c r="IG21" s="218" t="e">
        <f t="shared" ca="1" si="6"/>
        <v>#NAME?</v>
      </c>
      <c r="IH21" s="218" t="e">
        <f t="shared" ca="1" si="6"/>
        <v>#NAME?</v>
      </c>
      <c r="II21" s="218" t="e">
        <f t="shared" ca="1" si="6"/>
        <v>#NAME?</v>
      </c>
      <c r="IJ21" s="218" t="e">
        <f t="shared" ca="1" si="6"/>
        <v>#NAME?</v>
      </c>
      <c r="IK21" s="218" t="e">
        <f t="shared" ca="1" si="6"/>
        <v>#NAME?</v>
      </c>
      <c r="IL21" s="218" t="e">
        <f t="shared" ca="1" si="6"/>
        <v>#NAME?</v>
      </c>
      <c r="IM21" s="218" t="e">
        <f t="shared" ca="1" si="6"/>
        <v>#NAME?</v>
      </c>
      <c r="IN21" s="218" t="e">
        <f t="shared" ca="1" si="6"/>
        <v>#NAME?</v>
      </c>
      <c r="IO21" s="218" t="e">
        <f t="shared" ca="1" si="6"/>
        <v>#NAME?</v>
      </c>
      <c r="IP21" s="218" t="e">
        <f t="shared" ca="1" si="6"/>
        <v>#NAME?</v>
      </c>
      <c r="IQ21" s="218" t="e">
        <f t="shared" ca="1" si="6"/>
        <v>#NAME?</v>
      </c>
      <c r="IR21" s="218" t="e">
        <f t="shared" ca="1" si="6"/>
        <v>#NAME?</v>
      </c>
      <c r="IS21" s="218" t="e">
        <f t="shared" ca="1" si="6"/>
        <v>#NAME?</v>
      </c>
      <c r="IT21" s="218" t="e">
        <f t="shared" ca="1" si="6"/>
        <v>#NAME?</v>
      </c>
      <c r="IU21" s="218" t="e">
        <f t="shared" ca="1" si="6"/>
        <v>#NAME?</v>
      </c>
      <c r="IV21" s="218" t="e">
        <f t="shared" ca="1" si="6"/>
        <v>#NAME?</v>
      </c>
      <c r="IW21" s="218" t="e">
        <f t="shared" ca="1" si="6"/>
        <v>#NAME?</v>
      </c>
      <c r="IX21" s="218" t="e">
        <f t="shared" ca="1" si="6"/>
        <v>#NAME?</v>
      </c>
      <c r="IY21" s="218" t="e">
        <f t="shared" ca="1" si="6"/>
        <v>#NAME?</v>
      </c>
      <c r="IZ21" s="218" t="e">
        <f t="shared" ca="1" si="6"/>
        <v>#NAME?</v>
      </c>
      <c r="JA21" s="218" t="e">
        <f t="shared" ca="1" si="6"/>
        <v>#NAME?</v>
      </c>
      <c r="JB21" s="218" t="e">
        <f t="shared" ref="JB21:JG21" ca="1" si="7">$C$20*$D$20/200</f>
        <v>#NAME?</v>
      </c>
      <c r="JC21" s="218" t="e">
        <f t="shared" ca="1" si="7"/>
        <v>#NAME?</v>
      </c>
      <c r="JD21" s="218" t="e">
        <f t="shared" ca="1" si="7"/>
        <v>#NAME?</v>
      </c>
      <c r="JE21" s="218" t="e">
        <f t="shared" ca="1" si="7"/>
        <v>#NAME?</v>
      </c>
      <c r="JF21" s="218" t="e">
        <f t="shared" ca="1" si="7"/>
        <v>#NAME?</v>
      </c>
      <c r="JG21" s="218" t="e">
        <f t="shared" ca="1" si="7"/>
        <v>#NAME?</v>
      </c>
    </row>
    <row r="22" spans="1:267">
      <c r="E22" t="s">
        <v>565</v>
      </c>
      <c r="F22" s="218" t="e">
        <f ca="1">$F$20+$F$21</f>
        <v>#NAME?</v>
      </c>
      <c r="G22" s="218" t="e">
        <f ca="1">$G$20+$G$21</f>
        <v>#NAME?</v>
      </c>
      <c r="H22" s="218" t="e">
        <f ca="1">$H$20+$H$21</f>
        <v>#NAME?</v>
      </c>
      <c r="I22" s="218" t="e">
        <f ca="1">$I$20+$I$21</f>
        <v>#NAME?</v>
      </c>
      <c r="J22" s="218" t="e">
        <f ca="1">$J$20+$J$21</f>
        <v>#NAME?</v>
      </c>
      <c r="K22" s="218" t="e">
        <f ca="1">$K$20+$K$21</f>
        <v>#NAME?</v>
      </c>
      <c r="L22" s="218" t="e">
        <f ca="1">$L$20+$L$21</f>
        <v>#NAME?</v>
      </c>
      <c r="M22" s="218" t="e">
        <f ca="1">$M$20+$M$21</f>
        <v>#NAME?</v>
      </c>
      <c r="N22" s="218" t="e">
        <f ca="1">$N$20+$N$21</f>
        <v>#NAME?</v>
      </c>
      <c r="O22" s="218" t="e">
        <f ca="1">$O$20+$O$21</f>
        <v>#NAME?</v>
      </c>
      <c r="P22" s="218" t="e">
        <f ca="1">$P$20+$P$21</f>
        <v>#NAME?</v>
      </c>
      <c r="Q22" s="218" t="e">
        <f ca="1">$Q$20+$Q$21</f>
        <v>#NAME?</v>
      </c>
      <c r="R22" s="218" t="e">
        <f ca="1">$R$20+$R$21</f>
        <v>#NAME?</v>
      </c>
      <c r="S22" s="218" t="e">
        <f ca="1">$S$20+$S$21</f>
        <v>#NAME?</v>
      </c>
      <c r="T22" s="218" t="e">
        <f ca="1">$T$20+$T$21</f>
        <v>#NAME?</v>
      </c>
      <c r="U22" s="218" t="e">
        <f ca="1">$U$20+$U$21</f>
        <v>#NAME?</v>
      </c>
      <c r="V22" s="218" t="e">
        <f ca="1">$V$20+$V$21</f>
        <v>#NAME?</v>
      </c>
      <c r="W22" s="218" t="e">
        <f ca="1">$W$20+$W$21</f>
        <v>#NAME?</v>
      </c>
      <c r="X22" s="218" t="e">
        <f ca="1">$X$20+$X$21</f>
        <v>#NAME?</v>
      </c>
      <c r="Y22" s="218" t="e">
        <f ca="1">$Y$20+$Y$21</f>
        <v>#NAME?</v>
      </c>
      <c r="Z22" s="218" t="e">
        <f ca="1">$Z$20+$Z$21</f>
        <v>#NAME?</v>
      </c>
      <c r="AA22" s="218" t="e">
        <f ca="1">$AA$20+$AA$21</f>
        <v>#NAME?</v>
      </c>
      <c r="AB22" s="218" t="e">
        <f ca="1">$AB$20+$AB$21</f>
        <v>#NAME?</v>
      </c>
      <c r="AC22" s="218" t="e">
        <f ca="1">$AC$20+$AC$21</f>
        <v>#NAME?</v>
      </c>
      <c r="AD22" s="218" t="e">
        <f ca="1">$AD$20+$AD$21</f>
        <v>#NAME?</v>
      </c>
      <c r="AE22" s="218" t="e">
        <f ca="1">$AE$20+$AE$21</f>
        <v>#NAME?</v>
      </c>
      <c r="AF22" s="218" t="e">
        <f ca="1">$AF$20+$AF$21</f>
        <v>#NAME?</v>
      </c>
      <c r="AG22" s="218" t="e">
        <f ca="1">$AG$20+$AG$21</f>
        <v>#NAME?</v>
      </c>
      <c r="AH22" s="218" t="e">
        <f ca="1">$AH$20+$AH$21</f>
        <v>#NAME?</v>
      </c>
      <c r="AI22" s="218" t="e">
        <f ca="1">$AI$20+$AI$21</f>
        <v>#NAME?</v>
      </c>
      <c r="AJ22" s="218" t="e">
        <f ca="1">$AJ$20+$AJ$21</f>
        <v>#NAME?</v>
      </c>
      <c r="AK22" s="218" t="e">
        <f ca="1">$AK$20+$AK$21</f>
        <v>#NAME?</v>
      </c>
      <c r="AL22" s="218" t="e">
        <f ca="1">$AL$20+$AL$21</f>
        <v>#NAME?</v>
      </c>
      <c r="AM22" s="218" t="e">
        <f ca="1">$AM$20+$AM$21</f>
        <v>#NAME?</v>
      </c>
      <c r="AN22" s="218" t="e">
        <f ca="1">$AN$20+$AN$21</f>
        <v>#NAME?</v>
      </c>
      <c r="AO22" s="218" t="e">
        <f ca="1">$AO$20+$AO$21</f>
        <v>#NAME?</v>
      </c>
      <c r="AP22" s="218" t="e">
        <f ca="1">$AP$20+$AP$21</f>
        <v>#NAME?</v>
      </c>
      <c r="AQ22" s="218" t="e">
        <f ca="1">$AQ$20+$AQ$21</f>
        <v>#NAME?</v>
      </c>
      <c r="AR22" s="218" t="e">
        <f ca="1">$AR$20+$AR$21</f>
        <v>#NAME?</v>
      </c>
      <c r="AS22" s="218" t="e">
        <f ca="1">$AS$20+$AS$21</f>
        <v>#NAME?</v>
      </c>
      <c r="AT22" s="218" t="e">
        <f ca="1">$AT$20+$AT$21</f>
        <v>#NAME?</v>
      </c>
      <c r="AU22" s="218" t="e">
        <f ca="1">$AU$20+$AU$21</f>
        <v>#NAME?</v>
      </c>
      <c r="AV22" s="218" t="e">
        <f ca="1">$AV$20+$AV$21</f>
        <v>#NAME?</v>
      </c>
      <c r="AW22" s="218" t="e">
        <f ca="1">$AW$20+$AW$21</f>
        <v>#NAME?</v>
      </c>
      <c r="AX22" s="218" t="e">
        <f ca="1">$AX$20+$AX$21</f>
        <v>#NAME?</v>
      </c>
      <c r="AY22" s="218" t="e">
        <f ca="1">$AY$20+$AY$21</f>
        <v>#NAME?</v>
      </c>
      <c r="AZ22" s="218" t="e">
        <f ca="1">$AZ$20+$AZ$21</f>
        <v>#NAME?</v>
      </c>
      <c r="BA22" s="218" t="e">
        <f ca="1">$BA$20+$BA$21</f>
        <v>#NAME?</v>
      </c>
      <c r="BB22" s="218" t="e">
        <f ca="1">$BB$20+$BB$21</f>
        <v>#NAME?</v>
      </c>
      <c r="BC22" s="218" t="e">
        <f ca="1">$BC$20+$BC$21</f>
        <v>#NAME?</v>
      </c>
      <c r="BD22" s="218" t="e">
        <f ca="1">$BD$20+$BD$21</f>
        <v>#NAME?</v>
      </c>
      <c r="BE22" s="218" t="e">
        <f ca="1">$BE$20+$BE$21</f>
        <v>#NAME?</v>
      </c>
      <c r="BF22" s="218" t="e">
        <f ca="1">$BF$20+$BF$21</f>
        <v>#NAME?</v>
      </c>
      <c r="BG22" s="218" t="e">
        <f ca="1">$BG$20+$BG$21</f>
        <v>#NAME?</v>
      </c>
      <c r="BH22" s="218" t="e">
        <f ca="1">$BH$20+$BH$21</f>
        <v>#NAME?</v>
      </c>
      <c r="BI22" s="218" t="e">
        <f ca="1">$BI$20+$BI$21</f>
        <v>#NAME?</v>
      </c>
      <c r="BJ22" s="218" t="e">
        <f ca="1">$BJ$20+$BJ$21</f>
        <v>#NAME?</v>
      </c>
      <c r="BK22" s="218" t="e">
        <f ca="1">$BK$20+$BK$21</f>
        <v>#NAME?</v>
      </c>
      <c r="BL22" s="218" t="e">
        <f ca="1">$BL$20+$BL$21</f>
        <v>#NAME?</v>
      </c>
      <c r="BM22" s="218" t="e">
        <f ca="1">$BM$20+$BM$21</f>
        <v>#NAME?</v>
      </c>
      <c r="BN22" s="218" t="e">
        <f ca="1">$BN$20+$BN$21</f>
        <v>#NAME?</v>
      </c>
      <c r="BO22" s="218" t="e">
        <f ca="1">$BO$20+$BO$21</f>
        <v>#NAME?</v>
      </c>
      <c r="BP22" s="218" t="e">
        <f ca="1">$BP$20+$BP$21</f>
        <v>#NAME?</v>
      </c>
      <c r="BQ22" s="218" t="e">
        <f ca="1">$BQ$20+$BQ$21</f>
        <v>#NAME?</v>
      </c>
      <c r="BR22" s="218" t="e">
        <f ca="1">$BR$20+$BR$21</f>
        <v>#NAME?</v>
      </c>
      <c r="BS22" s="218" t="e">
        <f ca="1">$BS$20+$BS$21</f>
        <v>#NAME?</v>
      </c>
      <c r="BT22" s="218" t="e">
        <f ca="1">$BT$20+$BT$21</f>
        <v>#NAME?</v>
      </c>
      <c r="BU22" s="218" t="e">
        <f ca="1">$BU$20+$BU$21</f>
        <v>#NAME?</v>
      </c>
      <c r="BV22" s="218" t="e">
        <f ca="1">$BV$20+$BV$21</f>
        <v>#NAME?</v>
      </c>
      <c r="BW22" s="218" t="e">
        <f ca="1">$BW$20+$BW$21</f>
        <v>#NAME?</v>
      </c>
      <c r="BX22" s="218" t="e">
        <f ca="1">$BX$20+$BX$21</f>
        <v>#NAME?</v>
      </c>
      <c r="BY22" s="218" t="e">
        <f ca="1">$BY$20+$BY$21</f>
        <v>#NAME?</v>
      </c>
      <c r="BZ22" s="218" t="e">
        <f ca="1">$BZ$20+$BZ$21</f>
        <v>#NAME?</v>
      </c>
      <c r="CA22" s="218" t="e">
        <f ca="1">$CA$20+$CA$21</f>
        <v>#NAME?</v>
      </c>
      <c r="CB22" s="218" t="e">
        <f ca="1">$CB$20+$CB$21</f>
        <v>#NAME?</v>
      </c>
      <c r="CC22" s="218" t="e">
        <f ca="1">$CC$20+$CC$21</f>
        <v>#NAME?</v>
      </c>
      <c r="CD22" s="218" t="e">
        <f ca="1">$CD$20+$CD$21</f>
        <v>#NAME?</v>
      </c>
      <c r="CE22" s="218" t="e">
        <f ca="1">$CE$20+$CE$21</f>
        <v>#NAME?</v>
      </c>
      <c r="CF22" s="218" t="e">
        <f ca="1">$CF$20+$CF$21</f>
        <v>#NAME?</v>
      </c>
      <c r="CG22" s="218" t="e">
        <f ca="1">$CG$20+$CG$21</f>
        <v>#NAME?</v>
      </c>
      <c r="CH22" s="218" t="e">
        <f ca="1">$CH$20+$CH$21</f>
        <v>#NAME?</v>
      </c>
      <c r="CI22" s="218" t="e">
        <f ca="1">$CI$20+$CI$21</f>
        <v>#NAME?</v>
      </c>
      <c r="CJ22" s="218" t="e">
        <f ca="1">$CJ$20+$CJ$21</f>
        <v>#NAME?</v>
      </c>
      <c r="CK22" s="218" t="e">
        <f ca="1">$CK$20+$CK$21</f>
        <v>#NAME?</v>
      </c>
      <c r="CL22" s="218" t="e">
        <f ca="1">$CL$20+$CL$21</f>
        <v>#NAME?</v>
      </c>
      <c r="CM22" s="218" t="e">
        <f ca="1">$CM$20+$CM$21</f>
        <v>#NAME?</v>
      </c>
      <c r="CN22" s="218" t="e">
        <f ca="1">$CN$20+$CN$21</f>
        <v>#NAME?</v>
      </c>
      <c r="CO22" s="218" t="e">
        <f ca="1">$CO$20+$CO$21</f>
        <v>#NAME?</v>
      </c>
      <c r="CP22" s="218" t="e">
        <f ca="1">$CP$20+$CP$21</f>
        <v>#NAME?</v>
      </c>
      <c r="CQ22" s="218" t="e">
        <f ca="1">$CQ$20+$CQ$21</f>
        <v>#NAME?</v>
      </c>
      <c r="CR22" s="218" t="e">
        <f ca="1">$CR$20+$CR$21</f>
        <v>#NAME?</v>
      </c>
      <c r="CS22" s="218" t="e">
        <f ca="1">$CS$20+$CS$21</f>
        <v>#NAME?</v>
      </c>
      <c r="CT22" s="218" t="e">
        <f ca="1">$CT$20+$CT$21</f>
        <v>#NAME?</v>
      </c>
      <c r="CU22" s="218" t="e">
        <f ca="1">$CU$20+$CU$21</f>
        <v>#NAME?</v>
      </c>
      <c r="CV22" s="218" t="e">
        <f ca="1">$CV$20+$CV$21</f>
        <v>#NAME?</v>
      </c>
      <c r="CW22" s="218" t="e">
        <f ca="1">$CW$20+$CW$21</f>
        <v>#NAME?</v>
      </c>
      <c r="CX22" s="218" t="e">
        <f ca="1">$CX$20+$CX$21</f>
        <v>#NAME?</v>
      </c>
      <c r="CY22" s="218" t="e">
        <f ca="1">$CY$20+$CY$21</f>
        <v>#NAME?</v>
      </c>
      <c r="CZ22" s="218" t="e">
        <f ca="1">$CZ$20+$CZ$21</f>
        <v>#NAME?</v>
      </c>
      <c r="DA22" s="218" t="e">
        <f ca="1">$DA$20+$DA$21</f>
        <v>#NAME?</v>
      </c>
      <c r="DB22" s="218" t="e">
        <f ca="1">$DB$20+$DB$21</f>
        <v>#NAME?</v>
      </c>
      <c r="DC22" s="218" t="e">
        <f ca="1">$DC$20+$DC$21</f>
        <v>#NAME?</v>
      </c>
      <c r="DD22" s="218" t="e">
        <f ca="1">$DD$20+$DD$21</f>
        <v>#NAME?</v>
      </c>
      <c r="DE22" s="218" t="e">
        <f ca="1">$DE$20+$DE$21</f>
        <v>#NAME?</v>
      </c>
      <c r="DF22" s="218" t="e">
        <f ca="1">$DF$20+$DF$21</f>
        <v>#NAME?</v>
      </c>
      <c r="DG22" s="218" t="e">
        <f ca="1">$DG$20+$DG$21</f>
        <v>#NAME?</v>
      </c>
      <c r="DH22" s="218" t="e">
        <f ca="1">$DH$20+$DH$21</f>
        <v>#NAME?</v>
      </c>
      <c r="DI22" s="218" t="e">
        <f ca="1">$DI$20+$DI$21</f>
        <v>#NAME?</v>
      </c>
      <c r="DJ22" s="218" t="e">
        <f ca="1">$DJ$20+$DJ$21</f>
        <v>#NAME?</v>
      </c>
      <c r="DK22" s="218" t="e">
        <f ca="1">$DK$20+$DK$21</f>
        <v>#NAME?</v>
      </c>
      <c r="DL22" s="218" t="e">
        <f ca="1">$DL$20+$DL$21</f>
        <v>#NAME?</v>
      </c>
      <c r="DM22" s="218" t="e">
        <f ca="1">$DM$20+$DM$21</f>
        <v>#NAME?</v>
      </c>
      <c r="DN22" s="218" t="e">
        <f ca="1">$DN$20+$DN$21</f>
        <v>#NAME?</v>
      </c>
      <c r="DO22" s="218" t="e">
        <f ca="1">$DO$20+$DO$21</f>
        <v>#NAME?</v>
      </c>
      <c r="DP22" s="218" t="e">
        <f ca="1">$DP$20+$DP$21</f>
        <v>#NAME?</v>
      </c>
      <c r="DQ22" s="218" t="e">
        <f ca="1">$DQ$20+$DQ$21</f>
        <v>#NAME?</v>
      </c>
      <c r="DR22" s="218" t="e">
        <f ca="1">$DR$20+$DR$21</f>
        <v>#NAME?</v>
      </c>
      <c r="DS22" s="218" t="e">
        <f ca="1">$DS$20+$DS$21</f>
        <v>#NAME?</v>
      </c>
      <c r="DT22" s="218" t="e">
        <f ca="1">$DT$20+$DT$21</f>
        <v>#NAME?</v>
      </c>
      <c r="DU22" s="218" t="e">
        <f ca="1">$DU$20+$DU$21</f>
        <v>#NAME?</v>
      </c>
      <c r="DV22" s="218" t="e">
        <f ca="1">$DV$20+$DV$21</f>
        <v>#NAME?</v>
      </c>
      <c r="DW22" s="218" t="e">
        <f ca="1">$DW$20+$DW$21</f>
        <v>#NAME?</v>
      </c>
      <c r="DX22" s="218" t="e">
        <f ca="1">$DX$20+$DX$21</f>
        <v>#NAME?</v>
      </c>
      <c r="DY22" s="218" t="e">
        <f ca="1">$DY$20+$DY$21</f>
        <v>#NAME?</v>
      </c>
      <c r="DZ22" s="218" t="e">
        <f ca="1">$DZ$20+$DZ$21</f>
        <v>#NAME?</v>
      </c>
      <c r="EA22" s="218" t="e">
        <f ca="1">$EA$20+$EA$21</f>
        <v>#NAME?</v>
      </c>
      <c r="EB22" s="218" t="e">
        <f ca="1">$EB$20+$EB$21</f>
        <v>#NAME?</v>
      </c>
      <c r="EC22" s="218" t="e">
        <f ca="1">$EC$20+$EC$21</f>
        <v>#NAME?</v>
      </c>
      <c r="ED22" s="218" t="e">
        <f ca="1">$ED$20+$ED$21</f>
        <v>#NAME?</v>
      </c>
      <c r="EE22" s="218" t="e">
        <f ca="1">$EE$20+$EE$21</f>
        <v>#NAME?</v>
      </c>
      <c r="EF22" s="218" t="e">
        <f ca="1">$EF$20+$EF$21</f>
        <v>#NAME?</v>
      </c>
      <c r="EG22" s="218" t="e">
        <f ca="1">$EG$20+$EG$21</f>
        <v>#NAME?</v>
      </c>
      <c r="EH22" s="218" t="e">
        <f ca="1">$EH$20+$EH$21</f>
        <v>#NAME?</v>
      </c>
      <c r="EI22" s="218" t="e">
        <f ca="1">$EI$20+$EI$21</f>
        <v>#NAME?</v>
      </c>
      <c r="EJ22" s="218" t="e">
        <f ca="1">$EJ$20+$EJ$21</f>
        <v>#NAME?</v>
      </c>
      <c r="EK22" s="218" t="e">
        <f ca="1">$EK$20+$EK$21</f>
        <v>#NAME?</v>
      </c>
      <c r="EL22" s="218" t="e">
        <f ca="1">$EL$20+$EL$21</f>
        <v>#NAME?</v>
      </c>
      <c r="EM22" s="218" t="e">
        <f ca="1">$EM$20+$EM$21</f>
        <v>#NAME?</v>
      </c>
      <c r="EN22" s="218" t="e">
        <f ca="1">$EN$20+$EN$21</f>
        <v>#NAME?</v>
      </c>
      <c r="EO22" s="218" t="e">
        <f ca="1">$EO$20+$EO$21</f>
        <v>#NAME?</v>
      </c>
      <c r="EP22" s="218" t="e">
        <f ca="1">$EP$20+$EP$21</f>
        <v>#NAME?</v>
      </c>
      <c r="EQ22" s="218" t="e">
        <f ca="1">$EQ$20+$EQ$21</f>
        <v>#NAME?</v>
      </c>
      <c r="ER22" s="218" t="e">
        <f ca="1">$ER$20+$ER$21</f>
        <v>#NAME?</v>
      </c>
      <c r="ES22" s="218" t="e">
        <f ca="1">$ES$20+$ES$21</f>
        <v>#NAME?</v>
      </c>
      <c r="ET22" s="218" t="e">
        <f ca="1">$ET$20+$ET$21</f>
        <v>#NAME?</v>
      </c>
      <c r="EU22" s="218" t="e">
        <f ca="1">$EU$20+$EU$21</f>
        <v>#NAME?</v>
      </c>
      <c r="EV22" s="218" t="e">
        <f ca="1">$EV$20+$EV$21</f>
        <v>#NAME?</v>
      </c>
      <c r="EW22" s="218" t="e">
        <f ca="1">$EW$20+$EW$21</f>
        <v>#NAME?</v>
      </c>
      <c r="EX22" s="218" t="e">
        <f ca="1">$EX$20+$EX$21</f>
        <v>#NAME?</v>
      </c>
      <c r="EY22" s="218" t="e">
        <f ca="1">$EY$20+$EY$21</f>
        <v>#NAME?</v>
      </c>
      <c r="EZ22" s="218" t="e">
        <f ca="1">$EZ$20+$EZ$21</f>
        <v>#NAME?</v>
      </c>
      <c r="FA22" s="218" t="e">
        <f ca="1">$FA$20+$FA$21</f>
        <v>#NAME?</v>
      </c>
      <c r="FB22" s="218" t="e">
        <f ca="1">$FB$20+$FB$21</f>
        <v>#NAME?</v>
      </c>
      <c r="FC22" s="218" t="e">
        <f ca="1">$FC$20+$FC$21</f>
        <v>#NAME?</v>
      </c>
      <c r="FD22" s="218" t="e">
        <f ca="1">$FD$20+$FD$21</f>
        <v>#NAME?</v>
      </c>
      <c r="FE22" s="218" t="e">
        <f ca="1">$FE$20+$FE$21</f>
        <v>#NAME?</v>
      </c>
      <c r="FF22" s="218" t="e">
        <f ca="1">$FF$20+$FF$21</f>
        <v>#NAME?</v>
      </c>
      <c r="FG22" s="218" t="e">
        <f ca="1">$FG$20+$FG$21</f>
        <v>#NAME?</v>
      </c>
      <c r="FH22" s="218" t="e">
        <f ca="1">$FH$20+$FH$21</f>
        <v>#NAME?</v>
      </c>
      <c r="FI22" s="218" t="e">
        <f ca="1">$FI$20+$FI$21</f>
        <v>#NAME?</v>
      </c>
      <c r="FJ22" s="218" t="e">
        <f ca="1">$FJ$20+$FJ$21</f>
        <v>#NAME?</v>
      </c>
      <c r="FK22" s="218" t="e">
        <f ca="1">$FK$20+$FK$21</f>
        <v>#NAME?</v>
      </c>
      <c r="FL22" s="218" t="e">
        <f ca="1">$FL$20+$FL$21</f>
        <v>#NAME?</v>
      </c>
      <c r="FM22" s="218" t="e">
        <f ca="1">$FM$20+$FM$21</f>
        <v>#NAME?</v>
      </c>
      <c r="FN22" s="218" t="e">
        <f ca="1">$FN$20+$FN$21</f>
        <v>#NAME?</v>
      </c>
      <c r="FO22" s="218" t="e">
        <f ca="1">$FO$20+$FO$21</f>
        <v>#NAME?</v>
      </c>
      <c r="FP22" s="218" t="e">
        <f ca="1">$FP$20+$FP$21</f>
        <v>#NAME?</v>
      </c>
      <c r="FQ22" s="218" t="e">
        <f ca="1">$FQ$20+$FQ$21</f>
        <v>#NAME?</v>
      </c>
      <c r="FR22" s="218" t="e">
        <f ca="1">$FR$20+$FR$21</f>
        <v>#NAME?</v>
      </c>
      <c r="FS22" s="218" t="e">
        <f ca="1">$FS$20+$FS$21</f>
        <v>#NAME?</v>
      </c>
      <c r="FT22" s="218" t="e">
        <f ca="1">$FT$20+$FT$21</f>
        <v>#NAME?</v>
      </c>
      <c r="FU22" s="218" t="e">
        <f ca="1">$FU$20+$FU$21</f>
        <v>#NAME?</v>
      </c>
      <c r="FV22" s="218" t="e">
        <f ca="1">$FV$20+$FV$21</f>
        <v>#NAME?</v>
      </c>
      <c r="FW22" s="218" t="e">
        <f ca="1">$FW$20+$FW$21</f>
        <v>#NAME?</v>
      </c>
      <c r="FX22" s="218" t="e">
        <f ca="1">$FX$20+$FX$21</f>
        <v>#NAME?</v>
      </c>
      <c r="FY22" s="218" t="e">
        <f ca="1">$FY$20+$FY$21</f>
        <v>#NAME?</v>
      </c>
      <c r="FZ22" s="218" t="e">
        <f ca="1">$FZ$20+$FZ$21</f>
        <v>#NAME?</v>
      </c>
      <c r="GA22" s="218" t="e">
        <f ca="1">$GA$20+$GA$21</f>
        <v>#NAME?</v>
      </c>
      <c r="GB22" s="218" t="e">
        <f ca="1">$GB$20+$GB$21</f>
        <v>#NAME?</v>
      </c>
      <c r="GC22" s="218" t="e">
        <f ca="1">$GC$20+$GC$21</f>
        <v>#NAME?</v>
      </c>
      <c r="GD22" s="218" t="e">
        <f ca="1">$GD$20+$GD$21</f>
        <v>#NAME?</v>
      </c>
      <c r="GE22" s="218" t="e">
        <f ca="1">$GE$20+$GE$21</f>
        <v>#NAME?</v>
      </c>
      <c r="GF22" s="218" t="e">
        <f ca="1">$GF$20+$GF$21</f>
        <v>#NAME?</v>
      </c>
      <c r="GG22" s="218" t="e">
        <f ca="1">$GG$20+$GG$21</f>
        <v>#NAME?</v>
      </c>
      <c r="GH22" s="218" t="e">
        <f ca="1">$GH$20+$GH$21</f>
        <v>#NAME?</v>
      </c>
      <c r="GI22" s="218" t="e">
        <f ca="1">$GI$20+$GI$21</f>
        <v>#NAME?</v>
      </c>
      <c r="GJ22" s="218" t="e">
        <f ca="1">$GJ$20+$GJ$21</f>
        <v>#NAME?</v>
      </c>
      <c r="GK22" s="218" t="e">
        <f ca="1">$GK$20+$GK$21</f>
        <v>#NAME?</v>
      </c>
      <c r="GL22" s="218" t="e">
        <f ca="1">$GL$20+$GL$21</f>
        <v>#NAME?</v>
      </c>
      <c r="GM22" s="218" t="e">
        <f ca="1">$GM$20+$GM$21</f>
        <v>#NAME?</v>
      </c>
      <c r="GN22" s="218" t="e">
        <f ca="1">$GN$20+$GN$21</f>
        <v>#NAME?</v>
      </c>
      <c r="GO22" s="218" t="e">
        <f ca="1">$GO$20+$GO$21</f>
        <v>#NAME?</v>
      </c>
      <c r="GP22" s="218" t="e">
        <f ca="1">$GP$20+$GP$21</f>
        <v>#NAME?</v>
      </c>
      <c r="GQ22" s="218" t="e">
        <f ca="1">$GQ$20+$GQ$21</f>
        <v>#NAME?</v>
      </c>
      <c r="GR22" s="218" t="e">
        <f ca="1">$GR$20+$GR$21</f>
        <v>#NAME?</v>
      </c>
      <c r="GS22" s="218" t="e">
        <f ca="1">$GS$20+$GS$21</f>
        <v>#NAME?</v>
      </c>
      <c r="GT22" s="218" t="e">
        <f ca="1">$GT$20+$GT$21</f>
        <v>#NAME?</v>
      </c>
      <c r="GU22" s="218" t="e">
        <f ca="1">$GU$20+$GU$21</f>
        <v>#NAME?</v>
      </c>
      <c r="GV22" s="218" t="e">
        <f ca="1">$GV$20+$GV$21</f>
        <v>#NAME?</v>
      </c>
      <c r="GW22" s="218" t="e">
        <f ca="1">$GW$20+$GW$21</f>
        <v>#NAME?</v>
      </c>
      <c r="GX22" s="218" t="e">
        <f ca="1">$GX$20+$GX$21</f>
        <v>#NAME?</v>
      </c>
      <c r="GY22" s="218" t="e">
        <f ca="1">$GY$20+$GY$21</f>
        <v>#NAME?</v>
      </c>
      <c r="GZ22" s="218" t="e">
        <f ca="1">$GZ$20+$GZ$21</f>
        <v>#NAME?</v>
      </c>
      <c r="HA22" s="218" t="e">
        <f ca="1">$HA$20+$HA$21</f>
        <v>#NAME?</v>
      </c>
      <c r="HB22" s="218" t="e">
        <f ca="1">$HB$20+$HB$21</f>
        <v>#NAME?</v>
      </c>
      <c r="HC22" s="218" t="e">
        <f ca="1">$HC$20+$HC$21</f>
        <v>#NAME?</v>
      </c>
      <c r="HD22" s="218" t="e">
        <f ca="1">$HD$20+$HD$21</f>
        <v>#NAME?</v>
      </c>
      <c r="HE22" s="218" t="e">
        <f ca="1">$HE$20+$HE$21</f>
        <v>#NAME?</v>
      </c>
      <c r="HF22" s="218" t="e">
        <f ca="1">$HF$20+$HF$21</f>
        <v>#NAME?</v>
      </c>
      <c r="HG22" s="218" t="e">
        <f ca="1">$HG$20+$HG$21</f>
        <v>#NAME?</v>
      </c>
      <c r="HH22" s="218" t="e">
        <f ca="1">$HH$20+$HH$21</f>
        <v>#NAME?</v>
      </c>
      <c r="HI22" s="218" t="e">
        <f ca="1">$HI$20+$HI$21</f>
        <v>#NAME?</v>
      </c>
      <c r="HJ22" s="218" t="e">
        <f ca="1">$HJ$20+$HJ$21</f>
        <v>#NAME?</v>
      </c>
      <c r="HK22" s="218" t="e">
        <f ca="1">$HK$20+$HK$21</f>
        <v>#NAME?</v>
      </c>
      <c r="HL22" s="218" t="e">
        <f ca="1">$HL$20+$HL$21</f>
        <v>#NAME?</v>
      </c>
      <c r="HM22" s="218" t="e">
        <f ca="1">$HM$20+$HM$21</f>
        <v>#NAME?</v>
      </c>
      <c r="HN22" s="218" t="e">
        <f ca="1">$HN$20+$HN$21</f>
        <v>#NAME?</v>
      </c>
      <c r="HO22" s="218" t="e">
        <f ca="1">$HO$20+$HO$21</f>
        <v>#NAME?</v>
      </c>
      <c r="HP22" s="218" t="e">
        <f ca="1">$HP$20+$HP$21</f>
        <v>#NAME?</v>
      </c>
      <c r="HQ22" s="218" t="e">
        <f ca="1">$HQ$20+$HQ$21</f>
        <v>#NAME?</v>
      </c>
      <c r="HR22" s="218" t="e">
        <f ca="1">$HR$20+$HR$21</f>
        <v>#NAME?</v>
      </c>
      <c r="HS22" s="218" t="e">
        <f ca="1">$HS$20+$HS$21</f>
        <v>#NAME?</v>
      </c>
      <c r="HT22" s="218" t="e">
        <f ca="1">$HT$20+$HT$21</f>
        <v>#NAME?</v>
      </c>
      <c r="HU22" s="218" t="e">
        <f ca="1">$HU$20+$HU$21</f>
        <v>#NAME?</v>
      </c>
      <c r="HV22" s="218" t="e">
        <f ca="1">$HV$20+$HV$21</f>
        <v>#NAME?</v>
      </c>
      <c r="HW22" s="218" t="e">
        <f ca="1">$HW$20+$HW$21</f>
        <v>#NAME?</v>
      </c>
      <c r="HX22" s="218" t="e">
        <f ca="1">$HX$20+$HX$21</f>
        <v>#NAME?</v>
      </c>
      <c r="HY22" s="218" t="e">
        <f ca="1">$HY$20+$HY$21</f>
        <v>#NAME?</v>
      </c>
      <c r="HZ22" s="218" t="e">
        <f ca="1">$HZ$20+$HZ$21</f>
        <v>#NAME?</v>
      </c>
      <c r="IA22" s="218" t="e">
        <f ca="1">$IA$20+$IA$21</f>
        <v>#NAME?</v>
      </c>
      <c r="IB22" s="218" t="e">
        <f ca="1">$IB$20+$IB$21</f>
        <v>#NAME?</v>
      </c>
      <c r="IC22" s="218" t="e">
        <f ca="1">$IC$20+$IC$21</f>
        <v>#NAME?</v>
      </c>
      <c r="ID22" s="218" t="e">
        <f ca="1">$ID$20+$ID$21</f>
        <v>#NAME?</v>
      </c>
      <c r="IE22" s="218" t="e">
        <f ca="1">$IE$20+$IE$21</f>
        <v>#NAME?</v>
      </c>
      <c r="IF22" s="218" t="e">
        <f ca="1">$IF$20+$IF$21</f>
        <v>#NAME?</v>
      </c>
      <c r="IG22" s="218" t="e">
        <f ca="1">$IG$20+$IG$21</f>
        <v>#NAME?</v>
      </c>
      <c r="IH22" s="218" t="e">
        <f ca="1">$IH$20+$IH$21</f>
        <v>#NAME?</v>
      </c>
      <c r="II22" s="218" t="e">
        <f ca="1">$II$20+$II$21</f>
        <v>#NAME?</v>
      </c>
      <c r="IJ22" s="218" t="e">
        <f ca="1">$IJ$20+$IJ$21</f>
        <v>#NAME?</v>
      </c>
      <c r="IK22" s="218" t="e">
        <f ca="1">$IK$20+$IK$21</f>
        <v>#NAME?</v>
      </c>
      <c r="IL22" s="218" t="e">
        <f ca="1">$IL$20+$IL$21</f>
        <v>#NAME?</v>
      </c>
      <c r="IM22" s="218" t="e">
        <f ca="1">$IM$20+$IM$21</f>
        <v>#NAME?</v>
      </c>
      <c r="IN22" s="218" t="e">
        <f ca="1">$IN$20+$IN$21</f>
        <v>#NAME?</v>
      </c>
      <c r="IO22" s="218" t="e">
        <f ca="1">$IO$20+$IO$21</f>
        <v>#NAME?</v>
      </c>
      <c r="IP22" s="218" t="e">
        <f ca="1">$IP$20+$IP$21</f>
        <v>#NAME?</v>
      </c>
      <c r="IQ22" s="218" t="e">
        <f ca="1">$IQ$20+$IQ$21</f>
        <v>#NAME?</v>
      </c>
      <c r="IR22" s="218" t="e">
        <f ca="1">$IR$20+$IR$21</f>
        <v>#NAME?</v>
      </c>
      <c r="IS22" s="218" t="e">
        <f ca="1">$IS$20+$IS$21</f>
        <v>#NAME?</v>
      </c>
      <c r="IT22" s="218" t="e">
        <f ca="1">$IT$20+$IT$21</f>
        <v>#NAME?</v>
      </c>
      <c r="IU22" s="218" t="e">
        <f ca="1">$IU$20+$IU$21</f>
        <v>#NAME?</v>
      </c>
      <c r="IV22" s="218" t="e">
        <f ca="1">$IV$20+$IV$21</f>
        <v>#NAME?</v>
      </c>
      <c r="IW22" s="218" t="e">
        <f ca="1">$IW$20+$IW$21</f>
        <v>#NAME?</v>
      </c>
      <c r="IX22" s="218" t="e">
        <f ca="1">$IX$20+$IX$21</f>
        <v>#NAME?</v>
      </c>
      <c r="IY22" s="218" t="e">
        <f ca="1">$IY$20+$IY$21</f>
        <v>#NAME?</v>
      </c>
      <c r="IZ22" s="218" t="e">
        <f ca="1">$IZ$20+$IZ$21</f>
        <v>#NAME?</v>
      </c>
      <c r="JA22" s="218" t="e">
        <f ca="1">$JA$20+$JA$21</f>
        <v>#NAME?</v>
      </c>
      <c r="JB22" s="218" t="e">
        <f ca="1">$JB$20+$JB$21</f>
        <v>#NAME?</v>
      </c>
      <c r="JC22" s="218" t="e">
        <f ca="1">$JC$20+$JC$21</f>
        <v>#NAME?</v>
      </c>
      <c r="JD22" s="218" t="e">
        <f ca="1">$JD$20+$JD$21</f>
        <v>#NAME?</v>
      </c>
      <c r="JE22" s="218" t="e">
        <f ca="1">$JE$20+$JE$21</f>
        <v>#NAME?</v>
      </c>
      <c r="JF22" s="218" t="e">
        <f ca="1">$JF$20+$JF$21</f>
        <v>#NAME?</v>
      </c>
      <c r="JG22" s="218" t="e">
        <f ca="1">$JG$20+$JG$21</f>
        <v>#DIV/0!</v>
      </c>
    </row>
    <row r="23" spans="1:267">
      <c r="F23">
        <f>YEAR($F$19)</f>
        <v>1900</v>
      </c>
      <c r="G23">
        <f>YEAR($G$19)</f>
        <v>1900</v>
      </c>
      <c r="H23">
        <f>YEAR($H$19)</f>
        <v>1900</v>
      </c>
      <c r="I23">
        <f>YEAR($I$19)</f>
        <v>1901</v>
      </c>
      <c r="J23">
        <f>YEAR($J$19)</f>
        <v>1901</v>
      </c>
      <c r="K23">
        <f>YEAR($K$19)</f>
        <v>1902</v>
      </c>
      <c r="L23">
        <f>YEAR($L$19)</f>
        <v>1902</v>
      </c>
      <c r="M23">
        <f>YEAR($M$19)</f>
        <v>1903</v>
      </c>
      <c r="N23">
        <f>YEAR($N$19)</f>
        <v>1903</v>
      </c>
      <c r="O23">
        <f>YEAR($O$19)</f>
        <v>1904</v>
      </c>
      <c r="P23">
        <f>YEAR($P$19)</f>
        <v>1904</v>
      </c>
      <c r="Q23">
        <f>YEAR($Q$19)</f>
        <v>1905</v>
      </c>
      <c r="R23">
        <f>YEAR($R$19)</f>
        <v>1905</v>
      </c>
      <c r="S23">
        <f>YEAR($S$19)</f>
        <v>1906</v>
      </c>
      <c r="T23">
        <f>YEAR($T$19)</f>
        <v>1906</v>
      </c>
      <c r="U23">
        <f>YEAR($U$19)</f>
        <v>1907</v>
      </c>
      <c r="V23">
        <f>YEAR($V$19)</f>
        <v>1907</v>
      </c>
      <c r="W23">
        <f>YEAR($W$19)</f>
        <v>1908</v>
      </c>
      <c r="X23">
        <f>YEAR($X$19)</f>
        <v>1908</v>
      </c>
      <c r="Y23">
        <f>YEAR($Y$19)</f>
        <v>1909</v>
      </c>
      <c r="Z23">
        <f>YEAR($Z$19)</f>
        <v>1909</v>
      </c>
      <c r="AA23">
        <f>YEAR($AA$19)</f>
        <v>1910</v>
      </c>
      <c r="AB23">
        <f>YEAR($AB$19)</f>
        <v>1910</v>
      </c>
      <c r="AC23">
        <f>YEAR($AC$19)</f>
        <v>1911</v>
      </c>
      <c r="AD23">
        <f>YEAR($AD$19)</f>
        <v>1911</v>
      </c>
      <c r="AE23">
        <f>YEAR($AE$19)</f>
        <v>1912</v>
      </c>
      <c r="AF23">
        <f>YEAR($AF$19)</f>
        <v>1912</v>
      </c>
      <c r="AG23">
        <f>YEAR($AG$19)</f>
        <v>1913</v>
      </c>
      <c r="AH23">
        <f>YEAR($AH$19)</f>
        <v>1913</v>
      </c>
      <c r="AI23">
        <f>YEAR($AI$19)</f>
        <v>1914</v>
      </c>
      <c r="AJ23">
        <f>YEAR($AJ$19)</f>
        <v>1914</v>
      </c>
      <c r="AK23">
        <f>YEAR($AK$19)</f>
        <v>1915</v>
      </c>
      <c r="AL23">
        <f>YEAR($AL$19)</f>
        <v>1915</v>
      </c>
      <c r="AM23">
        <f>YEAR($AM$19)</f>
        <v>1916</v>
      </c>
      <c r="AN23">
        <f>YEAR($AN$19)</f>
        <v>1916</v>
      </c>
      <c r="AO23">
        <f>YEAR($AO$19)</f>
        <v>1917</v>
      </c>
      <c r="AP23">
        <f>YEAR($AP$19)</f>
        <v>1917</v>
      </c>
      <c r="AQ23">
        <f>YEAR($AQ$19)</f>
        <v>1918</v>
      </c>
      <c r="AR23">
        <f>YEAR($AR$19)</f>
        <v>1918</v>
      </c>
      <c r="AS23">
        <f>YEAR($AS$19)</f>
        <v>1919</v>
      </c>
      <c r="AT23">
        <f>YEAR($AT$19)</f>
        <v>1919</v>
      </c>
      <c r="AU23">
        <f>YEAR($AU$19)</f>
        <v>1920</v>
      </c>
      <c r="AV23">
        <f>YEAR($AV$19)</f>
        <v>1920</v>
      </c>
      <c r="AW23">
        <f>YEAR($AW$19)</f>
        <v>1921</v>
      </c>
      <c r="AX23">
        <f>YEAR($AX$19)</f>
        <v>1921</v>
      </c>
      <c r="AY23">
        <f>YEAR($AY$19)</f>
        <v>1922</v>
      </c>
      <c r="AZ23">
        <f>YEAR($AZ$19)</f>
        <v>1922</v>
      </c>
      <c r="BA23">
        <f>YEAR($BA$19)</f>
        <v>1923</v>
      </c>
      <c r="BB23">
        <f>YEAR($BB$19)</f>
        <v>1923</v>
      </c>
      <c r="BC23">
        <f>YEAR($BC$19)</f>
        <v>1924</v>
      </c>
      <c r="BD23">
        <f>YEAR($BD$19)</f>
        <v>1924</v>
      </c>
      <c r="BE23">
        <f>YEAR($BE$19)</f>
        <v>1925</v>
      </c>
      <c r="BF23">
        <f>YEAR($BF$19)</f>
        <v>1925</v>
      </c>
      <c r="BG23">
        <f>YEAR($BG$19)</f>
        <v>1926</v>
      </c>
      <c r="BH23">
        <f>YEAR($BH$19)</f>
        <v>1926</v>
      </c>
      <c r="BI23">
        <f>YEAR($BI$19)</f>
        <v>1927</v>
      </c>
      <c r="BJ23">
        <f>YEAR($BJ$19)</f>
        <v>1927</v>
      </c>
      <c r="BK23">
        <f>YEAR($BK$19)</f>
        <v>1928</v>
      </c>
      <c r="BL23">
        <f>YEAR($BL$19)</f>
        <v>1928</v>
      </c>
      <c r="BM23">
        <f>YEAR($BM$19)</f>
        <v>1929</v>
      </c>
      <c r="BN23">
        <f>YEAR($BN$19)</f>
        <v>1929</v>
      </c>
      <c r="BO23">
        <f>YEAR($BO$19)</f>
        <v>1930</v>
      </c>
      <c r="BP23">
        <f>YEAR($BP$19)</f>
        <v>1930</v>
      </c>
      <c r="BQ23">
        <f>YEAR($BQ$19)</f>
        <v>1931</v>
      </c>
      <c r="BR23">
        <f>YEAR($BR$19)</f>
        <v>1931</v>
      </c>
      <c r="BS23">
        <f>YEAR($BS$19)</f>
        <v>1932</v>
      </c>
      <c r="BT23">
        <f>YEAR($BT$19)</f>
        <v>1932</v>
      </c>
      <c r="BU23">
        <f>YEAR($BU$19)</f>
        <v>1933</v>
      </c>
      <c r="BV23">
        <f>YEAR($BV$19)</f>
        <v>1933</v>
      </c>
      <c r="BW23">
        <f>YEAR($BW$19)</f>
        <v>1934</v>
      </c>
      <c r="BX23">
        <f>YEAR($BX$19)</f>
        <v>1934</v>
      </c>
      <c r="BY23">
        <f>YEAR($BY$19)</f>
        <v>1935</v>
      </c>
      <c r="BZ23">
        <f>YEAR($BZ$19)</f>
        <v>1935</v>
      </c>
      <c r="CA23">
        <f>YEAR($CA$19)</f>
        <v>1936</v>
      </c>
      <c r="CB23">
        <f>YEAR($CB$19)</f>
        <v>1936</v>
      </c>
      <c r="CC23">
        <f>YEAR($CC$19)</f>
        <v>1937</v>
      </c>
      <c r="CD23">
        <f>YEAR($CD$19)</f>
        <v>1937</v>
      </c>
      <c r="CE23">
        <f>YEAR($CE$19)</f>
        <v>1938</v>
      </c>
      <c r="CF23">
        <f>YEAR($CF$19)</f>
        <v>1938</v>
      </c>
      <c r="CG23">
        <f>YEAR($CG$19)</f>
        <v>1939</v>
      </c>
      <c r="CH23">
        <f>YEAR($CH$19)</f>
        <v>1939</v>
      </c>
      <c r="CI23">
        <f>YEAR($CI$19)</f>
        <v>1940</v>
      </c>
      <c r="CJ23">
        <f>YEAR($CJ$19)</f>
        <v>1940</v>
      </c>
      <c r="CK23">
        <f>YEAR($CK$19)</f>
        <v>1941</v>
      </c>
      <c r="CL23">
        <f>YEAR($CL$19)</f>
        <v>1941</v>
      </c>
      <c r="CM23">
        <f>YEAR($CM$19)</f>
        <v>1942</v>
      </c>
      <c r="CN23">
        <f>YEAR($CN$19)</f>
        <v>1942</v>
      </c>
      <c r="CO23">
        <f>YEAR($CO$19)</f>
        <v>1943</v>
      </c>
      <c r="CP23">
        <f>YEAR($CP$19)</f>
        <v>1943</v>
      </c>
      <c r="CQ23">
        <f>YEAR($CQ$19)</f>
        <v>1944</v>
      </c>
      <c r="CR23">
        <f>YEAR($CR$19)</f>
        <v>1944</v>
      </c>
      <c r="CS23">
        <f>YEAR($CS$19)</f>
        <v>1945</v>
      </c>
      <c r="CT23">
        <f>YEAR($CT$19)</f>
        <v>1945</v>
      </c>
      <c r="CU23">
        <f>YEAR($CU$19)</f>
        <v>1946</v>
      </c>
      <c r="CV23">
        <f>YEAR($CV$19)</f>
        <v>1946</v>
      </c>
      <c r="CW23">
        <f>YEAR($CW$19)</f>
        <v>1947</v>
      </c>
      <c r="CX23">
        <f>YEAR($CX$19)</f>
        <v>1947</v>
      </c>
      <c r="CY23">
        <f>YEAR($CY$19)</f>
        <v>1948</v>
      </c>
      <c r="CZ23">
        <f>YEAR($CZ$19)</f>
        <v>1948</v>
      </c>
      <c r="DA23">
        <f>YEAR($DA$19)</f>
        <v>1949</v>
      </c>
      <c r="DB23">
        <f>YEAR($DB$19)</f>
        <v>1949</v>
      </c>
      <c r="DC23">
        <f>YEAR($DC$19)</f>
        <v>1950</v>
      </c>
      <c r="DD23">
        <f>YEAR($DD$19)</f>
        <v>1950</v>
      </c>
      <c r="DE23">
        <f>YEAR($DE$19)</f>
        <v>1951</v>
      </c>
      <c r="DF23">
        <f>YEAR($DF$19)</f>
        <v>1951</v>
      </c>
      <c r="DG23">
        <f>YEAR($DG$19)</f>
        <v>1952</v>
      </c>
      <c r="DH23">
        <f>YEAR($DH$19)</f>
        <v>1952</v>
      </c>
      <c r="DI23">
        <f>YEAR($DI$19)</f>
        <v>1953</v>
      </c>
      <c r="DJ23">
        <f>YEAR($DJ$19)</f>
        <v>1953</v>
      </c>
      <c r="DK23">
        <f>YEAR($DK$19)</f>
        <v>1954</v>
      </c>
      <c r="DL23">
        <f>YEAR($DL$19)</f>
        <v>1954</v>
      </c>
      <c r="DM23">
        <f>YEAR($DM$19)</f>
        <v>1955</v>
      </c>
      <c r="DN23">
        <f>YEAR($DN$19)</f>
        <v>1955</v>
      </c>
      <c r="DO23">
        <f>YEAR($DO$19)</f>
        <v>1956</v>
      </c>
      <c r="DP23">
        <f>YEAR($DP$19)</f>
        <v>1956</v>
      </c>
      <c r="DQ23">
        <f>YEAR($DQ$19)</f>
        <v>1957</v>
      </c>
      <c r="DR23">
        <f>YEAR($DR$19)</f>
        <v>1957</v>
      </c>
      <c r="DS23">
        <f>YEAR($DS$19)</f>
        <v>1958</v>
      </c>
      <c r="DT23">
        <f>YEAR($DT$19)</f>
        <v>1958</v>
      </c>
      <c r="DU23">
        <f>YEAR($DU$19)</f>
        <v>1959</v>
      </c>
      <c r="DV23">
        <f>YEAR($DV$19)</f>
        <v>1959</v>
      </c>
      <c r="DW23">
        <f>YEAR($DW$19)</f>
        <v>1960</v>
      </c>
      <c r="DX23">
        <f>YEAR($DX$19)</f>
        <v>1960</v>
      </c>
      <c r="DY23">
        <f>YEAR($DY$19)</f>
        <v>1961</v>
      </c>
      <c r="DZ23">
        <f>YEAR($DZ$19)</f>
        <v>1961</v>
      </c>
      <c r="EA23">
        <f>YEAR($EA$19)</f>
        <v>1962</v>
      </c>
      <c r="EB23">
        <f>YEAR($EB$19)</f>
        <v>1962</v>
      </c>
      <c r="EC23">
        <f>YEAR($EC$19)</f>
        <v>1963</v>
      </c>
      <c r="ED23">
        <f>YEAR($ED$19)</f>
        <v>1963</v>
      </c>
      <c r="EE23">
        <f>YEAR($EE$19)</f>
        <v>1964</v>
      </c>
      <c r="EF23">
        <f>YEAR($EF$19)</f>
        <v>1964</v>
      </c>
      <c r="EG23">
        <f>YEAR($EG$19)</f>
        <v>1965</v>
      </c>
      <c r="EH23">
        <f>YEAR($EH$19)</f>
        <v>1965</v>
      </c>
      <c r="EI23">
        <f>YEAR($EI$19)</f>
        <v>1966</v>
      </c>
      <c r="EJ23">
        <f>YEAR($EJ$19)</f>
        <v>1966</v>
      </c>
      <c r="EK23">
        <f>YEAR($EK$19)</f>
        <v>1967</v>
      </c>
      <c r="EL23">
        <f>YEAR($EL$19)</f>
        <v>1967</v>
      </c>
      <c r="EM23">
        <f>YEAR($EM$19)</f>
        <v>1968</v>
      </c>
      <c r="EN23">
        <f>YEAR($EN$19)</f>
        <v>1968</v>
      </c>
      <c r="EO23">
        <f>YEAR($EO$19)</f>
        <v>1969</v>
      </c>
      <c r="EP23">
        <f>YEAR($EP$19)</f>
        <v>1969</v>
      </c>
      <c r="EQ23">
        <f>YEAR($EQ$19)</f>
        <v>1970</v>
      </c>
      <c r="ER23">
        <f>YEAR($ER$19)</f>
        <v>1970</v>
      </c>
      <c r="ES23">
        <f>YEAR($ES$19)</f>
        <v>1971</v>
      </c>
      <c r="ET23">
        <f>YEAR($ET$19)</f>
        <v>1971</v>
      </c>
      <c r="EU23">
        <f>YEAR($EU$19)</f>
        <v>1972</v>
      </c>
      <c r="EV23">
        <f>YEAR($EV$19)</f>
        <v>1972</v>
      </c>
      <c r="EW23">
        <f>YEAR($EW$19)</f>
        <v>1973</v>
      </c>
      <c r="EX23">
        <f>YEAR($EX$19)</f>
        <v>1973</v>
      </c>
      <c r="EY23">
        <f>YEAR($EY$19)</f>
        <v>1974</v>
      </c>
      <c r="EZ23">
        <f>YEAR($EZ$19)</f>
        <v>1974</v>
      </c>
      <c r="FA23">
        <f>YEAR($FA$19)</f>
        <v>1975</v>
      </c>
      <c r="FB23">
        <f>YEAR($FB$19)</f>
        <v>1975</v>
      </c>
      <c r="FC23">
        <f>YEAR($FC$19)</f>
        <v>1976</v>
      </c>
      <c r="FD23">
        <f>YEAR($FD$19)</f>
        <v>1976</v>
      </c>
      <c r="FE23">
        <f>YEAR($FE$19)</f>
        <v>1977</v>
      </c>
      <c r="FF23">
        <f>YEAR($FF$19)</f>
        <v>1977</v>
      </c>
      <c r="FG23">
        <f>YEAR($FG$19)</f>
        <v>1978</v>
      </c>
      <c r="FH23">
        <f>YEAR($FH$19)</f>
        <v>1978</v>
      </c>
      <c r="FI23">
        <f>YEAR($FI$19)</f>
        <v>1979</v>
      </c>
      <c r="FJ23">
        <f>YEAR($FJ$19)</f>
        <v>1979</v>
      </c>
      <c r="FK23">
        <f>YEAR($FK$19)</f>
        <v>1980</v>
      </c>
      <c r="FL23">
        <f>YEAR($FL$19)</f>
        <v>1980</v>
      </c>
      <c r="FM23">
        <f>YEAR($FM$19)</f>
        <v>1981</v>
      </c>
      <c r="FN23">
        <f>YEAR($FN$19)</f>
        <v>1981</v>
      </c>
      <c r="FO23">
        <f>YEAR($FO$19)</f>
        <v>1982</v>
      </c>
      <c r="FP23">
        <f>YEAR($FP$19)</f>
        <v>1982</v>
      </c>
      <c r="FQ23">
        <f>YEAR($FQ$19)</f>
        <v>1983</v>
      </c>
      <c r="FR23">
        <f>YEAR($FR$19)</f>
        <v>1983</v>
      </c>
      <c r="FS23">
        <f>YEAR($FS$19)</f>
        <v>1984</v>
      </c>
      <c r="FT23">
        <f>YEAR($FT$19)</f>
        <v>1984</v>
      </c>
      <c r="FU23">
        <f>YEAR($FU$19)</f>
        <v>1985</v>
      </c>
      <c r="FV23">
        <f>YEAR($FV$19)</f>
        <v>1985</v>
      </c>
      <c r="FW23">
        <f>YEAR($FW$19)</f>
        <v>1986</v>
      </c>
      <c r="FX23">
        <f>YEAR($FX$19)</f>
        <v>1986</v>
      </c>
      <c r="FY23">
        <f>YEAR($FY$19)</f>
        <v>1987</v>
      </c>
      <c r="FZ23">
        <f>YEAR($FZ$19)</f>
        <v>1987</v>
      </c>
      <c r="GA23">
        <f>YEAR($GA$19)</f>
        <v>1988</v>
      </c>
      <c r="GB23">
        <f>YEAR($GB$19)</f>
        <v>1988</v>
      </c>
      <c r="GC23">
        <f>YEAR($GC$19)</f>
        <v>1989</v>
      </c>
      <c r="GD23">
        <f>YEAR($GD$19)</f>
        <v>1989</v>
      </c>
      <c r="GE23">
        <f>YEAR($GE$19)</f>
        <v>1990</v>
      </c>
      <c r="GF23">
        <f>YEAR($GF$19)</f>
        <v>1990</v>
      </c>
      <c r="GG23">
        <f>YEAR($GG$19)</f>
        <v>1991</v>
      </c>
      <c r="GH23">
        <f>YEAR($GH$19)</f>
        <v>1991</v>
      </c>
      <c r="GI23">
        <f>YEAR($GI$19)</f>
        <v>1992</v>
      </c>
      <c r="GJ23">
        <f>YEAR($GJ$19)</f>
        <v>1992</v>
      </c>
      <c r="GK23">
        <f>YEAR($GK$19)</f>
        <v>1993</v>
      </c>
      <c r="GL23">
        <f>YEAR($GL$19)</f>
        <v>1993</v>
      </c>
      <c r="GM23">
        <f>YEAR($GM$19)</f>
        <v>1994</v>
      </c>
      <c r="GN23">
        <f>YEAR($GN$19)</f>
        <v>1994</v>
      </c>
      <c r="GO23">
        <f>YEAR($GO$19)</f>
        <v>1995</v>
      </c>
      <c r="GP23">
        <f>YEAR($GP$19)</f>
        <v>1995</v>
      </c>
      <c r="GQ23">
        <f>YEAR($GQ$19)</f>
        <v>1996</v>
      </c>
      <c r="GR23">
        <f>YEAR($GR$19)</f>
        <v>1996</v>
      </c>
      <c r="GS23">
        <f>YEAR($GS$19)</f>
        <v>1997</v>
      </c>
      <c r="GT23">
        <f>YEAR($GT$19)</f>
        <v>1997</v>
      </c>
      <c r="GU23">
        <f>YEAR($GU$19)</f>
        <v>1998</v>
      </c>
      <c r="GV23">
        <f>YEAR($GV$19)</f>
        <v>1998</v>
      </c>
      <c r="GW23">
        <f>YEAR($GW$19)</f>
        <v>1999</v>
      </c>
      <c r="GX23">
        <f>YEAR($GX$19)</f>
        <v>1999</v>
      </c>
      <c r="GY23">
        <f>YEAR($GY$19)</f>
        <v>2000</v>
      </c>
      <c r="GZ23">
        <f>YEAR($GZ$19)</f>
        <v>2000</v>
      </c>
      <c r="HA23">
        <f>YEAR($HA$19)</f>
        <v>2001</v>
      </c>
      <c r="HB23">
        <f>YEAR($HB$19)</f>
        <v>2001</v>
      </c>
      <c r="HC23">
        <f>YEAR($HC$19)</f>
        <v>2002</v>
      </c>
      <c r="HD23">
        <f>YEAR($HD$19)</f>
        <v>2002</v>
      </c>
      <c r="HE23">
        <f>YEAR($HE$19)</f>
        <v>2003</v>
      </c>
      <c r="HF23">
        <f>YEAR($HF$19)</f>
        <v>2003</v>
      </c>
      <c r="HG23">
        <f>YEAR($HG$19)</f>
        <v>2004</v>
      </c>
      <c r="HH23">
        <f>YEAR($HH$19)</f>
        <v>2004</v>
      </c>
      <c r="HI23">
        <f>YEAR($HI$19)</f>
        <v>2005</v>
      </c>
      <c r="HJ23">
        <f>YEAR($HJ$19)</f>
        <v>2005</v>
      </c>
      <c r="HK23">
        <f>YEAR($HK$19)</f>
        <v>2006</v>
      </c>
      <c r="HL23">
        <f>YEAR($HL$19)</f>
        <v>2006</v>
      </c>
      <c r="HM23">
        <f>YEAR($HM$19)</f>
        <v>2007</v>
      </c>
      <c r="HN23">
        <f>YEAR($HN$19)</f>
        <v>2007</v>
      </c>
      <c r="HO23">
        <f>YEAR($HO$19)</f>
        <v>2008</v>
      </c>
      <c r="HP23">
        <f>YEAR($HP$19)</f>
        <v>2008</v>
      </c>
      <c r="HQ23">
        <f>YEAR($HQ$19)</f>
        <v>2009</v>
      </c>
      <c r="HR23">
        <f>YEAR($HR$19)</f>
        <v>2009</v>
      </c>
      <c r="HS23">
        <f>YEAR($HS$19)</f>
        <v>2010</v>
      </c>
      <c r="HT23">
        <f>YEAR($HT$19)</f>
        <v>2010</v>
      </c>
      <c r="HU23">
        <f>YEAR($HU$19)</f>
        <v>2011</v>
      </c>
      <c r="HV23">
        <f>YEAR($HV$19)</f>
        <v>2011</v>
      </c>
      <c r="HW23">
        <f>YEAR($HW$19)</f>
        <v>2012</v>
      </c>
      <c r="HX23">
        <f>YEAR($HX$19)</f>
        <v>2012</v>
      </c>
      <c r="HY23">
        <f>YEAR($HY$19)</f>
        <v>2013</v>
      </c>
      <c r="HZ23">
        <f>YEAR($HZ$19)</f>
        <v>2013</v>
      </c>
      <c r="IA23">
        <f>YEAR($IA$19)</f>
        <v>2014</v>
      </c>
      <c r="IB23">
        <f>YEAR($IB$19)</f>
        <v>2014</v>
      </c>
      <c r="IC23">
        <f>YEAR($IC$19)</f>
        <v>2015</v>
      </c>
      <c r="ID23">
        <f>YEAR($ID$19)</f>
        <v>2015</v>
      </c>
      <c r="IE23">
        <f>YEAR($IE$19)</f>
        <v>2016</v>
      </c>
      <c r="IF23">
        <f>YEAR($IF$19)</f>
        <v>2016</v>
      </c>
      <c r="IG23">
        <f>YEAR($IG$19)</f>
        <v>2017</v>
      </c>
      <c r="IH23">
        <f>YEAR($IH$19)</f>
        <v>2017</v>
      </c>
      <c r="II23">
        <f>YEAR($II$19)</f>
        <v>2018</v>
      </c>
      <c r="IJ23">
        <f>YEAR($IJ$19)</f>
        <v>2018</v>
      </c>
      <c r="IK23">
        <f>YEAR($IK$19)</f>
        <v>2019</v>
      </c>
      <c r="IL23">
        <f>YEAR($IL$19)</f>
        <v>2019</v>
      </c>
      <c r="IM23">
        <f>YEAR($IM$19)</f>
        <v>2020</v>
      </c>
      <c r="IN23">
        <f>YEAR($IN$19)</f>
        <v>2020</v>
      </c>
      <c r="IO23">
        <f>YEAR($IO$19)</f>
        <v>2021</v>
      </c>
      <c r="IP23">
        <f>YEAR($IP$19)</f>
        <v>2021</v>
      </c>
      <c r="IQ23">
        <f>YEAR($IQ$19)</f>
        <v>2022</v>
      </c>
      <c r="IR23">
        <f>YEAR($IR$19)</f>
        <v>2022</v>
      </c>
      <c r="IS23">
        <f>YEAR($IS$19)</f>
        <v>2023</v>
      </c>
      <c r="IT23">
        <f>YEAR($IT$19)</f>
        <v>2023</v>
      </c>
      <c r="IU23">
        <f>YEAR($IU$19)</f>
        <v>2024</v>
      </c>
      <c r="IV23">
        <f>YEAR($IV$19)</f>
        <v>2024</v>
      </c>
      <c r="IW23">
        <f>YEAR($IW$19)</f>
        <v>2025</v>
      </c>
      <c r="IX23">
        <f>YEAR($IX$19)</f>
        <v>2025</v>
      </c>
      <c r="IY23">
        <f>YEAR($IY$19)</f>
        <v>2026</v>
      </c>
      <c r="IZ23">
        <f>YEAR($IZ$19)</f>
        <v>2026</v>
      </c>
      <c r="JA23">
        <f>YEAR($JA$19)</f>
        <v>2027</v>
      </c>
      <c r="JB23">
        <f>YEAR($JB$19)</f>
        <v>2027</v>
      </c>
      <c r="JC23">
        <f>YEAR($JC$19)</f>
        <v>2028</v>
      </c>
      <c r="JD23">
        <f>YEAR($JD$19)</f>
        <v>2028</v>
      </c>
      <c r="JE23">
        <f>YEAR($JE$19)</f>
        <v>2029</v>
      </c>
      <c r="JF23">
        <f>YEAR($JF$19)</f>
        <v>2029</v>
      </c>
      <c r="JG23">
        <f>YEAR($JG$19)</f>
        <v>2030</v>
      </c>
    </row>
    <row r="24" spans="1:267">
      <c r="A24" t="s">
        <v>604</v>
      </c>
      <c r="B24">
        <v>1900</v>
      </c>
      <c r="C24">
        <v>1901</v>
      </c>
      <c r="D24">
        <v>1902</v>
      </c>
      <c r="E24">
        <v>1903</v>
      </c>
      <c r="F24">
        <v>1904</v>
      </c>
      <c r="G24">
        <v>1905</v>
      </c>
      <c r="H24">
        <v>1906</v>
      </c>
      <c r="I24">
        <v>1907</v>
      </c>
      <c r="J24">
        <v>1908</v>
      </c>
      <c r="K24">
        <v>1909</v>
      </c>
      <c r="L24">
        <v>1910</v>
      </c>
      <c r="M24">
        <v>1911</v>
      </c>
      <c r="N24">
        <v>1912</v>
      </c>
      <c r="O24">
        <v>1913</v>
      </c>
      <c r="P24">
        <v>1914</v>
      </c>
      <c r="Q24">
        <v>1915</v>
      </c>
      <c r="R24">
        <v>1916</v>
      </c>
      <c r="S24">
        <v>1917</v>
      </c>
      <c r="T24">
        <v>1918</v>
      </c>
      <c r="U24">
        <v>1919</v>
      </c>
      <c r="V24">
        <v>1920</v>
      </c>
      <c r="W24">
        <v>1921</v>
      </c>
      <c r="X24">
        <v>1922</v>
      </c>
      <c r="Y24">
        <v>1923</v>
      </c>
      <c r="Z24">
        <v>1924</v>
      </c>
      <c r="AA24">
        <v>1925</v>
      </c>
      <c r="AB24">
        <v>1926</v>
      </c>
      <c r="AC24">
        <v>1927</v>
      </c>
      <c r="AD24">
        <v>1928</v>
      </c>
      <c r="AE24">
        <v>1929</v>
      </c>
      <c r="AF24">
        <v>1930</v>
      </c>
      <c r="AG24">
        <v>1931</v>
      </c>
      <c r="AH24">
        <v>1932</v>
      </c>
      <c r="AI24">
        <v>1933</v>
      </c>
      <c r="AJ24">
        <v>1934</v>
      </c>
      <c r="AK24">
        <v>1935</v>
      </c>
      <c r="AL24">
        <v>1936</v>
      </c>
      <c r="AM24">
        <v>1937</v>
      </c>
      <c r="AN24">
        <v>1938</v>
      </c>
      <c r="AO24">
        <v>1939</v>
      </c>
      <c r="AP24">
        <v>1940</v>
      </c>
      <c r="AQ24">
        <v>1941</v>
      </c>
      <c r="AR24">
        <v>1942</v>
      </c>
      <c r="AS24">
        <v>1943</v>
      </c>
      <c r="AT24">
        <v>1944</v>
      </c>
      <c r="AU24">
        <v>1945</v>
      </c>
      <c r="AV24">
        <v>1946</v>
      </c>
      <c r="AW24">
        <v>1947</v>
      </c>
      <c r="AX24">
        <v>1948</v>
      </c>
      <c r="AY24">
        <v>1949</v>
      </c>
      <c r="AZ24">
        <v>1950</v>
      </c>
      <c r="BA24">
        <v>1951</v>
      </c>
      <c r="BB24">
        <v>1952</v>
      </c>
      <c r="BC24">
        <v>1953</v>
      </c>
      <c r="BD24">
        <v>1954</v>
      </c>
      <c r="BE24">
        <v>1955</v>
      </c>
      <c r="BF24">
        <v>1956</v>
      </c>
      <c r="BG24">
        <v>1957</v>
      </c>
      <c r="BH24">
        <v>1958</v>
      </c>
      <c r="BI24">
        <v>1959</v>
      </c>
      <c r="BJ24">
        <v>1960</v>
      </c>
      <c r="BK24">
        <v>1961</v>
      </c>
      <c r="BL24">
        <v>1962</v>
      </c>
      <c r="BM24">
        <v>1963</v>
      </c>
      <c r="BN24">
        <v>1964</v>
      </c>
      <c r="BO24">
        <v>1965</v>
      </c>
      <c r="BP24">
        <v>1966</v>
      </c>
      <c r="BQ24">
        <v>1967</v>
      </c>
      <c r="BR24">
        <v>1968</v>
      </c>
      <c r="BS24">
        <v>1969</v>
      </c>
      <c r="BT24">
        <v>1970</v>
      </c>
      <c r="BU24">
        <v>1971</v>
      </c>
      <c r="BV24">
        <v>1972</v>
      </c>
      <c r="BW24">
        <v>1973</v>
      </c>
      <c r="BX24">
        <v>1974</v>
      </c>
      <c r="BY24">
        <v>1975</v>
      </c>
      <c r="BZ24">
        <v>1976</v>
      </c>
      <c r="CA24">
        <v>1977</v>
      </c>
      <c r="CB24">
        <v>1978</v>
      </c>
      <c r="CC24">
        <v>1979</v>
      </c>
      <c r="CD24">
        <v>1980</v>
      </c>
      <c r="CE24">
        <v>1981</v>
      </c>
      <c r="CF24">
        <v>1982</v>
      </c>
      <c r="CG24">
        <v>1983</v>
      </c>
      <c r="CH24">
        <v>1984</v>
      </c>
      <c r="CI24">
        <v>1985</v>
      </c>
      <c r="CJ24">
        <v>1986</v>
      </c>
      <c r="CK24">
        <v>1987</v>
      </c>
      <c r="CL24">
        <v>1988</v>
      </c>
      <c r="CM24">
        <v>1989</v>
      </c>
      <c r="CN24">
        <v>1990</v>
      </c>
      <c r="CO24">
        <v>1991</v>
      </c>
      <c r="CP24">
        <v>1992</v>
      </c>
      <c r="CQ24">
        <v>1993</v>
      </c>
      <c r="CR24">
        <v>1994</v>
      </c>
      <c r="CS24">
        <v>1995</v>
      </c>
      <c r="CT24">
        <v>1996</v>
      </c>
      <c r="CU24">
        <v>1997</v>
      </c>
      <c r="CV24">
        <v>1998</v>
      </c>
      <c r="CW24">
        <v>1999</v>
      </c>
      <c r="CX24">
        <v>2000</v>
      </c>
      <c r="CY24">
        <v>2001</v>
      </c>
      <c r="CZ24">
        <v>2002</v>
      </c>
      <c r="DA24">
        <v>2003</v>
      </c>
      <c r="DB24">
        <v>2004</v>
      </c>
      <c r="DC24">
        <v>2005</v>
      </c>
      <c r="DD24">
        <v>2006</v>
      </c>
      <c r="DE24">
        <v>2007</v>
      </c>
      <c r="DF24">
        <v>2008</v>
      </c>
      <c r="DG24">
        <v>2009</v>
      </c>
      <c r="DH24">
        <v>2010</v>
      </c>
      <c r="DI24">
        <v>2011</v>
      </c>
      <c r="DJ24">
        <v>2012</v>
      </c>
      <c r="DK24">
        <v>2013</v>
      </c>
      <c r="DL24">
        <v>2014</v>
      </c>
      <c r="DM24">
        <v>2015</v>
      </c>
      <c r="DN24">
        <v>2016</v>
      </c>
      <c r="DO24">
        <v>2017</v>
      </c>
      <c r="DP24">
        <v>2018</v>
      </c>
      <c r="DQ24">
        <v>2019</v>
      </c>
      <c r="DR24">
        <v>2020</v>
      </c>
      <c r="DS24">
        <v>2021</v>
      </c>
      <c r="DT24">
        <v>2022</v>
      </c>
      <c r="DU24">
        <v>2023</v>
      </c>
      <c r="DV24">
        <v>2024</v>
      </c>
      <c r="DW24">
        <v>2025</v>
      </c>
      <c r="DX24">
        <v>2026</v>
      </c>
      <c r="DY24">
        <v>2027</v>
      </c>
      <c r="DZ24">
        <v>2028</v>
      </c>
      <c r="EA24">
        <v>2029</v>
      </c>
      <c r="EB24">
        <v>2030</v>
      </c>
    </row>
    <row r="25" spans="1:267">
      <c r="A25" t="s">
        <v>592</v>
      </c>
      <c r="B25" s="220">
        <f t="array" aca="1" ref="B25" ca="1">SUM(IF($E$18:$E$22=$A$25,IF($F$23:$JG$23=$B$24,$F$18:$JG$22)))</f>
        <v>0</v>
      </c>
      <c r="C25" s="220">
        <f t="array" aca="1" ref="C25" ca="1">SUM(IF($E$18:$E$22=$A$25,IF($F$23:$JG$23=$C$24,$F$18:$JG$22)))</f>
        <v>0</v>
      </c>
      <c r="D25" s="220">
        <f t="array" aca="1" ref="D25" ca="1">SUM(IF($E$18:$E$22=$A$25,IF($F$23:$JG$23=$D$24,$F$18:$JG$22)))</f>
        <v>0</v>
      </c>
      <c r="E25" s="220">
        <f t="array" aca="1" ref="E25" ca="1">SUM(IF($E$18:$E$22=$A$25,IF($F$23:$JG$23=$E$24,$F$18:$JG$22)))</f>
        <v>0</v>
      </c>
      <c r="F25" s="220">
        <f t="array" aca="1" ref="F25" ca="1">SUM(IF($E$18:$E$22=$A$25,IF($F$23:$JG$23=$F$24,$F$18:$JG$22)))</f>
        <v>0</v>
      </c>
      <c r="G25" s="220">
        <f t="array" aca="1" ref="G25" ca="1">SUM(IF($E$18:$E$22=$A$25,IF($F$23:$JG$23=$G$24,$F$18:$JG$22)))</f>
        <v>0</v>
      </c>
      <c r="H25" s="220">
        <f t="array" aca="1" ref="H25" ca="1">SUM(IF($E$18:$E$22=$A$25,IF($F$23:$JG$23=$H$24,$F$18:$JG$22)))</f>
        <v>0</v>
      </c>
      <c r="I25" s="220">
        <f t="array" aca="1" ref="I25" ca="1">SUM(IF($E$18:$E$22=$A$25,IF($F$23:$JG$23=$I$24,$F$18:$JG$22)))</f>
        <v>0</v>
      </c>
      <c r="J25" s="220">
        <f t="array" aca="1" ref="J25" ca="1">SUM(IF($E$18:$E$22=$A$25,IF($F$23:$JG$23=$J$24,$F$18:$JG$22)))</f>
        <v>0</v>
      </c>
      <c r="K25" s="220">
        <f t="array" aca="1" ref="K25" ca="1">SUM(IF($E$18:$E$22=$A$25,IF($F$23:$JG$23=$K$24,$F$18:$JG$22)))</f>
        <v>0</v>
      </c>
      <c r="L25" s="220">
        <f t="array" aca="1" ref="L25" ca="1">SUM(IF($E$18:$E$22=$A$25,IF($F$23:$JG$23=$L$24,$F$18:$JG$22)))</f>
        <v>0</v>
      </c>
      <c r="M25" s="220">
        <f t="array" aca="1" ref="M25" ca="1">SUM(IF($E$18:$E$22=$A$25,IF($F$23:$JG$23=$M$24,$F$18:$JG$22)))</f>
        <v>0</v>
      </c>
      <c r="N25" s="220">
        <f t="array" aca="1" ref="N25" ca="1">SUM(IF($E$18:$E$22=$A$25,IF($F$23:$JG$23=$N$24,$F$18:$JG$22)))</f>
        <v>0</v>
      </c>
      <c r="O25" s="220">
        <f t="array" aca="1" ref="O25" ca="1">SUM(IF($E$18:$E$22=$A$25,IF($F$23:$JG$23=$O$24,$F$18:$JG$22)))</f>
        <v>0</v>
      </c>
      <c r="P25" s="220">
        <f t="array" aca="1" ref="P25" ca="1">SUM(IF($E$18:$E$22=$A$25,IF($F$23:$JG$23=$P$24,$F$18:$JG$22)))</f>
        <v>0</v>
      </c>
      <c r="Q25" s="220">
        <f t="array" aca="1" ref="Q25" ca="1">SUM(IF($E$18:$E$22=$A$25,IF($F$23:$JG$23=$Q$24,$F$18:$JG$22)))</f>
        <v>0</v>
      </c>
      <c r="R25" s="220">
        <f t="array" aca="1" ref="R25" ca="1">SUM(IF($E$18:$E$22=$A$25,IF($F$23:$JG$23=$R$24,$F$18:$JG$22)))</f>
        <v>0</v>
      </c>
      <c r="S25" s="220">
        <f t="array" aca="1" ref="S25" ca="1">SUM(IF($E$18:$E$22=$A$25,IF($F$23:$JG$23=$S$24,$F$18:$JG$22)))</f>
        <v>0</v>
      </c>
      <c r="T25" s="220">
        <f t="array" aca="1" ref="T25" ca="1">SUM(IF($E$18:$E$22=$A$25,IF($F$23:$JG$23=$T$24,$F$18:$JG$22)))</f>
        <v>0</v>
      </c>
      <c r="U25" s="220">
        <f t="array" aca="1" ref="U25" ca="1">SUM(IF($E$18:$E$22=$A$25,IF($F$23:$JG$23=$U$24,$F$18:$JG$22)))</f>
        <v>0</v>
      </c>
      <c r="V25" s="220">
        <f t="array" aca="1" ref="V25" ca="1">SUM(IF($E$18:$E$22=$A$25,IF($F$23:$JG$23=$V$24,$F$18:$JG$22)))</f>
        <v>0</v>
      </c>
      <c r="W25" s="220">
        <f t="array" aca="1" ref="W25" ca="1">SUM(IF($E$18:$E$22=$A$25,IF($F$23:$JG$23=$W$24,$F$18:$JG$22)))</f>
        <v>0</v>
      </c>
      <c r="X25" s="220">
        <f t="array" aca="1" ref="X25" ca="1">SUM(IF($E$18:$E$22=$A$25,IF($F$23:$JG$23=$X$24,$F$18:$JG$22)))</f>
        <v>0</v>
      </c>
      <c r="Y25" s="220">
        <f t="array" aca="1" ref="Y25" ca="1">SUM(IF($E$18:$E$22=$A$25,IF($F$23:$JG$23=$Y$24,$F$18:$JG$22)))</f>
        <v>0</v>
      </c>
      <c r="Z25" s="220">
        <f t="array" aca="1" ref="Z25" ca="1">SUM(IF($E$18:$E$22=$A$25,IF($F$23:$JG$23=$Z$24,$F$18:$JG$22)))</f>
        <v>0</v>
      </c>
      <c r="AA25" s="220">
        <f t="array" aca="1" ref="AA25" ca="1">SUM(IF($E$18:$E$22=$A$25,IF($F$23:$JG$23=$AA$24,$F$18:$JG$22)))</f>
        <v>0</v>
      </c>
      <c r="AB25" s="220">
        <f t="array" aca="1" ref="AB25" ca="1">SUM(IF($E$18:$E$22=$A$25,IF($F$23:$JG$23=$AB$24,$F$18:$JG$22)))</f>
        <v>0</v>
      </c>
      <c r="AC25" s="220">
        <f t="array" aca="1" ref="AC25" ca="1">SUM(IF($E$18:$E$22=$A$25,IF($F$23:$JG$23=$AC$24,$F$18:$JG$22)))</f>
        <v>0</v>
      </c>
      <c r="AD25" s="220">
        <f t="array" aca="1" ref="AD25" ca="1">SUM(IF($E$18:$E$22=$A$25,IF($F$23:$JG$23=$AD$24,$F$18:$JG$22)))</f>
        <v>0</v>
      </c>
      <c r="AE25" s="220">
        <f t="array" aca="1" ref="AE25" ca="1">SUM(IF($E$18:$E$22=$A$25,IF($F$23:$JG$23=$AE$24,$F$18:$JG$22)))</f>
        <v>0</v>
      </c>
      <c r="AF25" s="220">
        <f t="array" aca="1" ref="AF25" ca="1">SUM(IF($E$18:$E$22=$A$25,IF($F$23:$JG$23=$AF$24,$F$18:$JG$22)))</f>
        <v>0</v>
      </c>
      <c r="AG25" s="220">
        <f t="array" aca="1" ref="AG25" ca="1">SUM(IF($E$18:$E$22=$A$25,IF($F$23:$JG$23=$AG$24,$F$18:$JG$22)))</f>
        <v>0</v>
      </c>
      <c r="AH25" s="220">
        <f t="array" aca="1" ref="AH25" ca="1">SUM(IF($E$18:$E$22=$A$25,IF($F$23:$JG$23=$AH$24,$F$18:$JG$22)))</f>
        <v>0</v>
      </c>
      <c r="AI25" s="220">
        <f t="array" aca="1" ref="AI25" ca="1">SUM(IF($E$18:$E$22=$A$25,IF($F$23:$JG$23=$AI$24,$F$18:$JG$22)))</f>
        <v>0</v>
      </c>
      <c r="AJ25" s="220">
        <f t="array" aca="1" ref="AJ25" ca="1">SUM(IF($E$18:$E$22=$A$25,IF($F$23:$JG$23=$AJ$24,$F$18:$JG$22)))</f>
        <v>0</v>
      </c>
      <c r="AK25" s="220">
        <f t="array" aca="1" ref="AK25" ca="1">SUM(IF($E$18:$E$22=$A$25,IF($F$23:$JG$23=$AK$24,$F$18:$JG$22)))</f>
        <v>0</v>
      </c>
      <c r="AL25" s="220">
        <f t="array" aca="1" ref="AL25" ca="1">SUM(IF($E$18:$E$22=$A$25,IF($F$23:$JG$23=$AL$24,$F$18:$JG$22)))</f>
        <v>0</v>
      </c>
      <c r="AM25" s="220">
        <f t="array" aca="1" ref="AM25" ca="1">SUM(IF($E$18:$E$22=$A$25,IF($F$23:$JG$23=$AM$24,$F$18:$JG$22)))</f>
        <v>0</v>
      </c>
      <c r="AN25" s="220">
        <f t="array" aca="1" ref="AN25" ca="1">SUM(IF($E$18:$E$22=$A$25,IF($F$23:$JG$23=$AN$24,$F$18:$JG$22)))</f>
        <v>0</v>
      </c>
      <c r="AO25" s="220">
        <f t="array" aca="1" ref="AO25" ca="1">SUM(IF($E$18:$E$22=$A$25,IF($F$23:$JG$23=$AO$24,$F$18:$JG$22)))</f>
        <v>0</v>
      </c>
      <c r="AP25" s="220">
        <f t="array" aca="1" ref="AP25" ca="1">SUM(IF($E$18:$E$22=$A$25,IF($F$23:$JG$23=$AP$24,$F$18:$JG$22)))</f>
        <v>0</v>
      </c>
      <c r="AQ25" s="220">
        <f t="array" aca="1" ref="AQ25" ca="1">SUM(IF($E$18:$E$22=$A$25,IF($F$23:$JG$23=$AQ$24,$F$18:$JG$22)))</f>
        <v>0</v>
      </c>
      <c r="AR25" s="220">
        <f t="array" aca="1" ref="AR25" ca="1">SUM(IF($E$18:$E$22=$A$25,IF($F$23:$JG$23=$AR$24,$F$18:$JG$22)))</f>
        <v>0</v>
      </c>
      <c r="AS25" s="220">
        <f t="array" aca="1" ref="AS25" ca="1">SUM(IF($E$18:$E$22=$A$25,IF($F$23:$JG$23=$AS$24,$F$18:$JG$22)))</f>
        <v>0</v>
      </c>
      <c r="AT25" s="220">
        <f t="array" aca="1" ref="AT25" ca="1">SUM(IF($E$18:$E$22=$A$25,IF($F$23:$JG$23=$AT$24,$F$18:$JG$22)))</f>
        <v>0</v>
      </c>
      <c r="AU25" s="220">
        <f t="array" aca="1" ref="AU25" ca="1">SUM(IF($E$18:$E$22=$A$25,IF($F$23:$JG$23=$AU$24,$F$18:$JG$22)))</f>
        <v>0</v>
      </c>
      <c r="AV25" s="220">
        <f t="array" aca="1" ref="AV25" ca="1">SUM(IF($E$18:$E$22=$A$25,IF($F$23:$JG$23=$AV$24,$F$18:$JG$22)))</f>
        <v>0</v>
      </c>
      <c r="AW25" s="220">
        <f t="array" aca="1" ref="AW25" ca="1">SUM(IF($E$18:$E$22=$A$25,IF($F$23:$JG$23=$AW$24,$F$18:$JG$22)))</f>
        <v>0</v>
      </c>
      <c r="AX25" s="220">
        <f t="array" aca="1" ref="AX25" ca="1">SUM(IF($E$18:$E$22=$A$25,IF($F$23:$JG$23=$AX$24,$F$18:$JG$22)))</f>
        <v>0</v>
      </c>
      <c r="AY25" s="220">
        <f t="array" aca="1" ref="AY25" ca="1">SUM(IF($E$18:$E$22=$A$25,IF($F$23:$JG$23=$AY$24,$F$18:$JG$22)))</f>
        <v>0</v>
      </c>
      <c r="AZ25" s="220">
        <f t="array" aca="1" ref="AZ25" ca="1">SUM(IF($E$18:$E$22=$A$25,IF($F$23:$JG$23=$AZ$24,$F$18:$JG$22)))</f>
        <v>0</v>
      </c>
      <c r="BA25" s="220">
        <f t="array" aca="1" ref="BA25" ca="1">SUM(IF($E$18:$E$22=$A$25,IF($F$23:$JG$23=$BA$24,$F$18:$JG$22)))</f>
        <v>0</v>
      </c>
      <c r="BB25" s="220">
        <f t="array" aca="1" ref="BB25" ca="1">SUM(IF($E$18:$E$22=$A$25,IF($F$23:$JG$23=$BB$24,$F$18:$JG$22)))</f>
        <v>0</v>
      </c>
      <c r="BC25" s="220">
        <f t="array" aca="1" ref="BC25" ca="1">SUM(IF($E$18:$E$22=$A$25,IF($F$23:$JG$23=$BC$24,$F$18:$JG$22)))</f>
        <v>0</v>
      </c>
      <c r="BD25" s="220">
        <f t="array" aca="1" ref="BD25" ca="1">SUM(IF($E$18:$E$22=$A$25,IF($F$23:$JG$23=$BD$24,$F$18:$JG$22)))</f>
        <v>0</v>
      </c>
      <c r="BE25" s="220">
        <f t="array" aca="1" ref="BE25" ca="1">SUM(IF($E$18:$E$22=$A$25,IF($F$23:$JG$23=$BE$24,$F$18:$JG$22)))</f>
        <v>0</v>
      </c>
      <c r="BF25" s="220">
        <f t="array" aca="1" ref="BF25" ca="1">SUM(IF($E$18:$E$22=$A$25,IF($F$23:$JG$23=$BF$24,$F$18:$JG$22)))</f>
        <v>0</v>
      </c>
      <c r="BG25" s="220">
        <f t="array" aca="1" ref="BG25" ca="1">SUM(IF($E$18:$E$22=$A$25,IF($F$23:$JG$23=$BG$24,$F$18:$JG$22)))</f>
        <v>0</v>
      </c>
      <c r="BH25" s="220">
        <f t="array" aca="1" ref="BH25" ca="1">SUM(IF($E$18:$E$22=$A$25,IF($F$23:$JG$23=$BH$24,$F$18:$JG$22)))</f>
        <v>0</v>
      </c>
      <c r="BI25" s="220">
        <f t="array" aca="1" ref="BI25" ca="1">SUM(IF($E$18:$E$22=$A$25,IF($F$23:$JG$23=$BI$24,$F$18:$JG$22)))</f>
        <v>0</v>
      </c>
      <c r="BJ25" s="220">
        <f t="array" aca="1" ref="BJ25" ca="1">SUM(IF($E$18:$E$22=$A$25,IF($F$23:$JG$23=$BJ$24,$F$18:$JG$22)))</f>
        <v>0</v>
      </c>
      <c r="BK25" s="220">
        <f t="array" aca="1" ref="BK25" ca="1">SUM(IF($E$18:$E$22=$A$25,IF($F$23:$JG$23=$BK$24,$F$18:$JG$22)))</f>
        <v>0</v>
      </c>
      <c r="BL25" s="220">
        <f t="array" aca="1" ref="BL25" ca="1">SUM(IF($E$18:$E$22=$A$25,IF($F$23:$JG$23=$BL$24,$F$18:$JG$22)))</f>
        <v>0</v>
      </c>
      <c r="BM25" s="220">
        <f t="array" aca="1" ref="BM25" ca="1">SUM(IF($E$18:$E$22=$A$25,IF($F$23:$JG$23=$BM$24,$F$18:$JG$22)))</f>
        <v>0</v>
      </c>
      <c r="BN25" s="220">
        <f t="array" aca="1" ref="BN25" ca="1">SUM(IF($E$18:$E$22=$A$25,IF($F$23:$JG$23=$BN$24,$F$18:$JG$22)))</f>
        <v>0</v>
      </c>
      <c r="BO25" s="220">
        <f t="array" aca="1" ref="BO25" ca="1">SUM(IF($E$18:$E$22=$A$25,IF($F$23:$JG$23=$BO$24,$F$18:$JG$22)))</f>
        <v>0</v>
      </c>
      <c r="BP25" s="220">
        <f t="array" aca="1" ref="BP25" ca="1">SUM(IF($E$18:$E$22=$A$25,IF($F$23:$JG$23=$BP$24,$F$18:$JG$22)))</f>
        <v>0</v>
      </c>
      <c r="BQ25" s="220">
        <f t="array" aca="1" ref="BQ25" ca="1">SUM(IF($E$18:$E$22=$A$25,IF($F$23:$JG$23=$BQ$24,$F$18:$JG$22)))</f>
        <v>0</v>
      </c>
      <c r="BR25" s="220">
        <f t="array" aca="1" ref="BR25" ca="1">SUM(IF($E$18:$E$22=$A$25,IF($F$23:$JG$23=$BR$24,$F$18:$JG$22)))</f>
        <v>0</v>
      </c>
      <c r="BS25" s="220">
        <f t="array" aca="1" ref="BS25" ca="1">SUM(IF($E$18:$E$22=$A$25,IF($F$23:$JG$23=$BS$24,$F$18:$JG$22)))</f>
        <v>0</v>
      </c>
      <c r="BT25" s="220">
        <f t="array" aca="1" ref="BT25" ca="1">SUM(IF($E$18:$E$22=$A$25,IF($F$23:$JG$23=$BT$24,$F$18:$JG$22)))</f>
        <v>0</v>
      </c>
      <c r="BU25" s="220">
        <f t="array" aca="1" ref="BU25" ca="1">SUM(IF($E$18:$E$22=$A$25,IF($F$23:$JG$23=$BU$24,$F$18:$JG$22)))</f>
        <v>0</v>
      </c>
      <c r="BV25" s="220">
        <f t="array" aca="1" ref="BV25" ca="1">SUM(IF($E$18:$E$22=$A$25,IF($F$23:$JG$23=$BV$24,$F$18:$JG$22)))</f>
        <v>0</v>
      </c>
      <c r="BW25" s="220">
        <f t="array" aca="1" ref="BW25" ca="1">SUM(IF($E$18:$E$22=$A$25,IF($F$23:$JG$23=$BW$24,$F$18:$JG$22)))</f>
        <v>0</v>
      </c>
      <c r="BX25" s="220">
        <f t="array" aca="1" ref="BX25" ca="1">SUM(IF($E$18:$E$22=$A$25,IF($F$23:$JG$23=$BX$24,$F$18:$JG$22)))</f>
        <v>0</v>
      </c>
      <c r="BY25" s="220">
        <f t="array" aca="1" ref="BY25" ca="1">SUM(IF($E$18:$E$22=$A$25,IF($F$23:$JG$23=$BY$24,$F$18:$JG$22)))</f>
        <v>0</v>
      </c>
      <c r="BZ25" s="220">
        <f t="array" aca="1" ref="BZ25" ca="1">SUM(IF($E$18:$E$22=$A$25,IF($F$23:$JG$23=$BZ$24,$F$18:$JG$22)))</f>
        <v>0</v>
      </c>
      <c r="CA25" s="220">
        <f t="array" aca="1" ref="CA25" ca="1">SUM(IF($E$18:$E$22=$A$25,IF($F$23:$JG$23=$CA$24,$F$18:$JG$22)))</f>
        <v>0</v>
      </c>
      <c r="CB25" s="220">
        <f t="array" aca="1" ref="CB25" ca="1">SUM(IF($E$18:$E$22=$A$25,IF($F$23:$JG$23=$CB$24,$F$18:$JG$22)))</f>
        <v>0</v>
      </c>
      <c r="CC25" s="220">
        <f t="array" aca="1" ref="CC25" ca="1">SUM(IF($E$18:$E$22=$A$25,IF($F$23:$JG$23=$CC$24,$F$18:$JG$22)))</f>
        <v>0</v>
      </c>
      <c r="CD25" s="220">
        <f t="array" aca="1" ref="CD25" ca="1">SUM(IF($E$18:$E$22=$A$25,IF($F$23:$JG$23=$CD$24,$F$18:$JG$22)))</f>
        <v>0</v>
      </c>
      <c r="CE25" s="220">
        <f t="array" aca="1" ref="CE25" ca="1">SUM(IF($E$18:$E$22=$A$25,IF($F$23:$JG$23=$CE$24,$F$18:$JG$22)))</f>
        <v>0</v>
      </c>
      <c r="CF25" s="220">
        <f t="array" aca="1" ref="CF25" ca="1">SUM(IF($E$18:$E$22=$A$25,IF($F$23:$JG$23=$CF$24,$F$18:$JG$22)))</f>
        <v>0</v>
      </c>
      <c r="CG25" s="220">
        <f t="array" aca="1" ref="CG25" ca="1">SUM(IF($E$18:$E$22=$A$25,IF($F$23:$JG$23=$CG$24,$F$18:$JG$22)))</f>
        <v>0</v>
      </c>
      <c r="CH25" s="220">
        <f t="array" aca="1" ref="CH25" ca="1">SUM(IF($E$18:$E$22=$A$25,IF($F$23:$JG$23=$CH$24,$F$18:$JG$22)))</f>
        <v>0</v>
      </c>
      <c r="CI25" s="220">
        <f t="array" aca="1" ref="CI25" ca="1">SUM(IF($E$18:$E$22=$A$25,IF($F$23:$JG$23=$CI$24,$F$18:$JG$22)))</f>
        <v>0</v>
      </c>
      <c r="CJ25" s="220">
        <f t="array" aca="1" ref="CJ25" ca="1">SUM(IF($E$18:$E$22=$A$25,IF($F$23:$JG$23=$CJ$24,$F$18:$JG$22)))</f>
        <v>0</v>
      </c>
      <c r="CK25" s="220">
        <f t="array" aca="1" ref="CK25" ca="1">SUM(IF($E$18:$E$22=$A$25,IF($F$23:$JG$23=$CK$24,$F$18:$JG$22)))</f>
        <v>0</v>
      </c>
      <c r="CL25" s="220">
        <f t="array" aca="1" ref="CL25" ca="1">SUM(IF($E$18:$E$22=$A$25,IF($F$23:$JG$23=$CL$24,$F$18:$JG$22)))</f>
        <v>0</v>
      </c>
      <c r="CM25" s="220">
        <f t="array" aca="1" ref="CM25" ca="1">SUM(IF($E$18:$E$22=$A$25,IF($F$23:$JG$23=$CM$24,$F$18:$JG$22)))</f>
        <v>0</v>
      </c>
      <c r="CN25" s="220">
        <f t="array" aca="1" ref="CN25" ca="1">SUM(IF($E$18:$E$22=$A$25,IF($F$23:$JG$23=$CN$24,$F$18:$JG$22)))</f>
        <v>0</v>
      </c>
      <c r="CO25" s="220">
        <f t="array" aca="1" ref="CO25" ca="1">SUM(IF($E$18:$E$22=$A$25,IF($F$23:$JG$23=$CO$24,$F$18:$JG$22)))</f>
        <v>0</v>
      </c>
      <c r="CP25" s="220">
        <f t="array" aca="1" ref="CP25" ca="1">SUM(IF($E$18:$E$22=$A$25,IF($F$23:$JG$23=$CP$24,$F$18:$JG$22)))</f>
        <v>0</v>
      </c>
      <c r="CQ25" s="220">
        <f t="array" aca="1" ref="CQ25" ca="1">SUM(IF($E$18:$E$22=$A$25,IF($F$23:$JG$23=$CQ$24,$F$18:$JG$22)))</f>
        <v>0</v>
      </c>
      <c r="CR25" s="220">
        <f t="array" aca="1" ref="CR25" ca="1">SUM(IF($E$18:$E$22=$A$25,IF($F$23:$JG$23=$CR$24,$F$18:$JG$22)))</f>
        <v>0</v>
      </c>
      <c r="CS25" s="220">
        <f t="array" aca="1" ref="CS25" ca="1">SUM(IF($E$18:$E$22=$A$25,IF($F$23:$JG$23=$CS$24,$F$18:$JG$22)))</f>
        <v>0</v>
      </c>
      <c r="CT25" s="220">
        <f t="array" aca="1" ref="CT25" ca="1">SUM(IF($E$18:$E$22=$A$25,IF($F$23:$JG$23=$CT$24,$F$18:$JG$22)))</f>
        <v>0</v>
      </c>
      <c r="CU25" s="220">
        <f t="array" aca="1" ref="CU25" ca="1">SUM(IF($E$18:$E$22=$A$25,IF($F$23:$JG$23=$CU$24,$F$18:$JG$22)))</f>
        <v>0</v>
      </c>
      <c r="CV25" s="220">
        <f t="array" aca="1" ref="CV25" ca="1">SUM(IF($E$18:$E$22=$A$25,IF($F$23:$JG$23=$CV$24,$F$18:$JG$22)))</f>
        <v>0</v>
      </c>
      <c r="CW25" s="220">
        <f t="array" aca="1" ref="CW25" ca="1">SUM(IF($E$18:$E$22=$A$25,IF($F$23:$JG$23=$CW$24,$F$18:$JG$22)))</f>
        <v>0</v>
      </c>
      <c r="CX25" s="220">
        <f t="array" aca="1" ref="CX25" ca="1">SUM(IF($E$18:$E$22=$A$25,IF($F$23:$JG$23=$CX$24,$F$18:$JG$22)))</f>
        <v>0</v>
      </c>
      <c r="CY25" s="220">
        <f t="array" aca="1" ref="CY25" ca="1">SUM(IF($E$18:$E$22=$A$25,IF($F$23:$JG$23=$CY$24,$F$18:$JG$22)))</f>
        <v>0</v>
      </c>
      <c r="CZ25" s="220">
        <f t="array" aca="1" ref="CZ25" ca="1">SUM(IF($E$18:$E$22=$A$25,IF($F$23:$JG$23=$CZ$24,$F$18:$JG$22)))</f>
        <v>0</v>
      </c>
      <c r="DA25" s="220">
        <f t="array" aca="1" ref="DA25" ca="1">SUM(IF($E$18:$E$22=$A$25,IF($F$23:$JG$23=$DA$24,$F$18:$JG$22)))</f>
        <v>0</v>
      </c>
      <c r="DB25" s="220">
        <f t="array" aca="1" ref="DB25" ca="1">SUM(IF($E$18:$E$22=$A$25,IF($F$23:$JG$23=$DB$24,$F$18:$JG$22)))</f>
        <v>0</v>
      </c>
      <c r="DC25" s="220">
        <f t="array" aca="1" ref="DC25" ca="1">SUM(IF($E$18:$E$22=$A$25,IF($F$23:$JG$23=$DC$24,$F$18:$JG$22)))</f>
        <v>0</v>
      </c>
      <c r="DD25" s="220">
        <f t="array" aca="1" ref="DD25" ca="1">SUM(IF($E$18:$E$22=$A$25,IF($F$23:$JG$23=$DD$24,$F$18:$JG$22)))</f>
        <v>0</v>
      </c>
      <c r="DE25" s="220">
        <f t="array" aca="1" ref="DE25" ca="1">SUM(IF($E$18:$E$22=$A$25,IF($F$23:$JG$23=$DE$24,$F$18:$JG$22)))</f>
        <v>0</v>
      </c>
      <c r="DF25" s="220">
        <f t="array" aca="1" ref="DF25" ca="1">SUM(IF($E$18:$E$22=$A$25,IF($F$23:$JG$23=$DF$24,$F$18:$JG$22)))</f>
        <v>0</v>
      </c>
      <c r="DG25" s="220">
        <f t="array" aca="1" ref="DG25" ca="1">SUM(IF($E$18:$E$22=$A$25,IF($F$23:$JG$23=$DG$24,$F$18:$JG$22)))</f>
        <v>0</v>
      </c>
      <c r="DH25" s="220">
        <f t="array" aca="1" ref="DH25" ca="1">SUM(IF($E$18:$E$22=$A$25,IF($F$23:$JG$23=$DH$24,$F$18:$JG$22)))</f>
        <v>0</v>
      </c>
      <c r="DI25" s="220">
        <f t="array" aca="1" ref="DI25" ca="1">SUM(IF($E$18:$E$22=$A$25,IF($F$23:$JG$23=$DI$24,$F$18:$JG$22)))</f>
        <v>0</v>
      </c>
      <c r="DJ25" s="220">
        <f t="array" aca="1" ref="DJ25" ca="1">SUM(IF($E$18:$E$22=$A$25,IF($F$23:$JG$23=$DJ$24,$F$18:$JG$22)))</f>
        <v>0</v>
      </c>
      <c r="DK25" s="220">
        <f t="array" aca="1" ref="DK25" ca="1">SUM(IF($E$18:$E$22=$A$25,IF($F$23:$JG$23=$DK$24,$F$18:$JG$22)))</f>
        <v>0</v>
      </c>
      <c r="DL25" s="220">
        <f t="array" aca="1" ref="DL25" ca="1">SUM(IF($E$18:$E$22=$A$25,IF($F$23:$JG$23=$DL$24,$F$18:$JG$22)))</f>
        <v>0</v>
      </c>
      <c r="DM25" s="220">
        <f t="array" aca="1" ref="DM25" ca="1">SUM(IF($E$18:$E$22=$A$25,IF($F$23:$JG$23=$DM$24,$F$18:$JG$22)))</f>
        <v>0</v>
      </c>
      <c r="DN25" s="220">
        <f t="array" aca="1" ref="DN25" ca="1">SUM(IF($E$18:$E$22=$A$25,IF($F$23:$JG$23=$DN$24,$F$18:$JG$22)))</f>
        <v>0</v>
      </c>
      <c r="DO25" s="220">
        <f t="array" aca="1" ref="DO25" ca="1">SUM(IF($E$18:$E$22=$A$25,IF($F$23:$JG$23=$DO$24,$F$18:$JG$22)))</f>
        <v>0</v>
      </c>
      <c r="DP25" s="220">
        <f t="array" aca="1" ref="DP25" ca="1">SUM(IF($E$18:$E$22=$A$25,IF($F$23:$JG$23=$DP$24,$F$18:$JG$22)))</f>
        <v>0</v>
      </c>
      <c r="DQ25" s="220">
        <f t="array" aca="1" ref="DQ25" ca="1">SUM(IF($E$18:$E$22=$A$25,IF($F$23:$JG$23=$DQ$24,$F$18:$JG$22)))</f>
        <v>0</v>
      </c>
      <c r="DR25" s="220">
        <f t="array" aca="1" ref="DR25" ca="1">SUM(IF($E$18:$E$22=$A$25,IF($F$23:$JG$23=$DR$24,$F$18:$JG$22)))</f>
        <v>0</v>
      </c>
      <c r="DS25" s="220">
        <f t="array" aca="1" ref="DS25" ca="1">SUM(IF($E$18:$E$22=$A$25,IF($F$23:$JG$23=$DS$24,$F$18:$JG$22)))</f>
        <v>0</v>
      </c>
      <c r="DT25" s="220">
        <f t="array" aca="1" ref="DT25" ca="1">SUM(IF($E$18:$E$22=$A$25,IF($F$23:$JG$23=$DT$24,$F$18:$JG$22)))</f>
        <v>0</v>
      </c>
      <c r="DU25" s="220">
        <f t="array" aca="1" ref="DU25" ca="1">SUM(IF($E$18:$E$22=$A$25,IF($F$23:$JG$23=$DU$24,$F$18:$JG$22)))</f>
        <v>0</v>
      </c>
      <c r="DV25" s="220">
        <f t="array" aca="1" ref="DV25" ca="1">SUM(IF($E$18:$E$22=$A$25,IF($F$23:$JG$23=$DV$24,$F$18:$JG$22)))</f>
        <v>0</v>
      </c>
      <c r="DW25" s="220">
        <f t="array" aca="1" ref="DW25" ca="1">SUM(IF($E$18:$E$22=$A$25,IF($F$23:$JG$23=$DW$24,$F$18:$JG$22)))</f>
        <v>0</v>
      </c>
      <c r="DX25" s="220">
        <f t="array" aca="1" ref="DX25" ca="1">SUM(IF($E$18:$E$22=$A$25,IF($F$23:$JG$23=$DX$24,$F$18:$JG$22)))</f>
        <v>0</v>
      </c>
      <c r="DY25" s="220">
        <f t="array" aca="1" ref="DY25" ca="1">SUM(IF($E$18:$E$22=$A$25,IF($F$23:$JG$23=$DY$24,$F$18:$JG$22)))</f>
        <v>0</v>
      </c>
      <c r="DZ25" s="220">
        <f t="array" aca="1" ref="DZ25" ca="1">SUM(IF($E$18:$E$22=$A$25,IF($F$23:$JG$23=$DZ$24,$F$18:$JG$22)))</f>
        <v>0</v>
      </c>
      <c r="EA25" s="220">
        <f t="array" aca="1" ref="EA25" ca="1">SUM(IF($E$18:$E$22=$A$25,IF($F$23:$JG$23=$EA$24,$F$18:$JG$22)))</f>
        <v>0</v>
      </c>
      <c r="EB25" s="220" t="e">
        <f t="array" aca="1" ref="EB25" ca="1">SUM(IF($E$18:$E$22=$A$25,IF($F$23:$JG$23=$EB$24,$F$18:$JG$22)))</f>
        <v>#DIV/0!</v>
      </c>
      <c r="EC25" s="220"/>
      <c r="ED25" s="220"/>
      <c r="EE25" s="220"/>
      <c r="EF25" s="220"/>
      <c r="EG25" s="220"/>
      <c r="EH25" s="220"/>
      <c r="EI25" s="220"/>
      <c r="EJ25" s="220"/>
      <c r="EK25" s="220"/>
      <c r="EL25" s="220"/>
      <c r="EM25" s="220"/>
      <c r="EN25" s="220"/>
      <c r="EO25" s="220"/>
      <c r="EP25" s="220"/>
      <c r="EQ25" s="220"/>
      <c r="ER25" s="220"/>
      <c r="ES25" s="220"/>
      <c r="ET25" s="220"/>
      <c r="EU25" s="220"/>
      <c r="EV25" s="220"/>
      <c r="EW25" s="220"/>
      <c r="EX25" s="220"/>
      <c r="EY25" s="220"/>
      <c r="EZ25" s="220"/>
      <c r="FA25" s="220"/>
      <c r="FB25" s="220"/>
      <c r="FC25" s="220"/>
      <c r="FD25" s="220"/>
      <c r="FE25" s="220"/>
      <c r="FF25" s="220"/>
      <c r="FG25" s="220"/>
      <c r="FH25" s="220"/>
      <c r="FI25" s="220"/>
      <c r="FJ25" s="220"/>
      <c r="FK25" s="220"/>
      <c r="FL25" s="220"/>
      <c r="FM25" s="220"/>
      <c r="FN25" s="220"/>
      <c r="FO25" s="220"/>
      <c r="FP25" s="220"/>
      <c r="FQ25" s="220"/>
      <c r="FR25" s="220"/>
      <c r="FS25" s="220"/>
      <c r="FT25" s="220"/>
      <c r="FU25" s="220"/>
      <c r="FV25" s="220"/>
      <c r="FW25" s="220"/>
      <c r="FX25" s="220"/>
      <c r="FY25" s="220"/>
      <c r="FZ25" s="220"/>
      <c r="GA25" s="220"/>
      <c r="GB25" s="220"/>
      <c r="GC25" s="220"/>
      <c r="GD25" s="220"/>
      <c r="GE25" s="220"/>
      <c r="GF25" s="220"/>
      <c r="GG25" s="220"/>
      <c r="GH25" s="220"/>
      <c r="GI25" s="220"/>
      <c r="GJ25" s="220"/>
      <c r="GK25" s="220"/>
      <c r="GL25" s="220"/>
      <c r="GM25" s="220"/>
      <c r="GN25" s="220"/>
      <c r="GO25" s="220"/>
      <c r="GP25" s="220"/>
      <c r="GQ25" s="220"/>
      <c r="GR25" s="220"/>
      <c r="GS25" s="220"/>
      <c r="GT25" s="220"/>
      <c r="GU25" s="220"/>
      <c r="GV25" s="220"/>
      <c r="GW25" s="220"/>
      <c r="GX25" s="220"/>
      <c r="GY25" s="220"/>
      <c r="GZ25" s="220"/>
      <c r="HA25" s="220"/>
      <c r="HB25" s="220"/>
      <c r="HC25" s="220"/>
      <c r="HD25" s="220"/>
      <c r="HE25" s="220"/>
      <c r="HF25" s="220"/>
      <c r="HG25" s="220"/>
      <c r="HH25" s="220"/>
      <c r="HI25" s="220"/>
      <c r="HJ25" s="220"/>
      <c r="HK25" s="220"/>
      <c r="HL25" s="220"/>
      <c r="HM25" s="220"/>
      <c r="HN25" s="220"/>
      <c r="HO25" s="220"/>
      <c r="HP25" s="220"/>
      <c r="HQ25" s="220"/>
      <c r="HR25" s="220"/>
      <c r="HS25" s="220"/>
      <c r="HT25" s="220"/>
      <c r="HU25" s="220"/>
      <c r="HV25" s="220"/>
      <c r="HW25" s="220"/>
      <c r="HX25" s="220"/>
      <c r="HY25" s="220"/>
      <c r="HZ25" s="220"/>
      <c r="IA25" s="220"/>
      <c r="IB25" s="220"/>
      <c r="IC25" s="220"/>
      <c r="ID25" s="220"/>
      <c r="IE25" s="220"/>
      <c r="IF25" s="220"/>
      <c r="IG25" s="220"/>
      <c r="IH25" s="220"/>
      <c r="II25" s="220"/>
      <c r="IJ25" s="220"/>
      <c r="IK25" s="220"/>
      <c r="IL25" s="220"/>
      <c r="IM25" s="220"/>
      <c r="IN25" s="220"/>
      <c r="IO25" s="220"/>
      <c r="IP25" s="220"/>
      <c r="IQ25" s="220"/>
      <c r="IR25" s="220"/>
      <c r="IS25" s="220"/>
      <c r="IT25" s="220"/>
      <c r="IU25" s="220"/>
      <c r="IV25" s="220"/>
      <c r="IW25" s="220"/>
      <c r="IX25" s="220"/>
      <c r="IY25" s="220"/>
      <c r="IZ25" s="220"/>
      <c r="JA25" s="220"/>
      <c r="JB25" s="220"/>
      <c r="JC25" s="220"/>
      <c r="JD25" s="220"/>
      <c r="JE25" s="220"/>
      <c r="JF25" s="220"/>
      <c r="JG25" s="220"/>
    </row>
    <row r="26" spans="1:267">
      <c r="A26" t="s">
        <v>585</v>
      </c>
      <c r="B26" s="220" t="e">
        <f t="array" aca="1" ref="B26" ca="1">SUM(IF($E$18:$E$22=$A$26,IF($F$23:$JG$23=$B$24,$F$18:$JG$22)))</f>
        <v>#NAME?</v>
      </c>
      <c r="C26" s="220" t="e">
        <f t="array" aca="1" ref="C26" ca="1">SUM(IF($E$18:$E$22=$A$26,IF($F$23:$JG$23=$C$24,$F$18:$JG$22)))</f>
        <v>#NAME?</v>
      </c>
      <c r="D26" s="220" t="e">
        <f t="array" aca="1" ref="D26" ca="1">SUM(IF($E$18:$E$22=$A$26,IF($F$23:$JG$23=$D$24,$F$18:$JG$22)))</f>
        <v>#NAME?</v>
      </c>
      <c r="E26" s="220" t="e">
        <f t="array" aca="1" ref="E26" ca="1">SUM(IF($E$18:$E$22=$A$26,IF($F$23:$JG$23=$E$24,$F$18:$JG$22)))</f>
        <v>#NAME?</v>
      </c>
      <c r="F26" s="220" t="e">
        <f t="array" aca="1" ref="F26" ca="1">SUM(IF($E$18:$E$22=$A$26,IF($F$23:$JG$23=$F$24,$F$18:$JG$22)))</f>
        <v>#NAME?</v>
      </c>
      <c r="G26" s="220" t="e">
        <f t="array" aca="1" ref="G26" ca="1">SUM(IF($E$18:$E$22=$A$26,IF($F$23:$JG$23=$G$24,$F$18:$JG$22)))</f>
        <v>#NAME?</v>
      </c>
      <c r="H26" s="220" t="e">
        <f t="array" aca="1" ref="H26" ca="1">SUM(IF($E$18:$E$22=$A$26,IF($F$23:$JG$23=$H$24,$F$18:$JG$22)))</f>
        <v>#NAME?</v>
      </c>
      <c r="I26" s="220" t="e">
        <f t="array" aca="1" ref="I26" ca="1">SUM(IF($E$18:$E$22=$A$26,IF($F$23:$JG$23=$I$24,$F$18:$JG$22)))</f>
        <v>#NAME?</v>
      </c>
      <c r="J26" s="220" t="e">
        <f t="array" aca="1" ref="J26" ca="1">SUM(IF($E$18:$E$22=$A$26,IF($F$23:$JG$23=$J$24,$F$18:$JG$22)))</f>
        <v>#NAME?</v>
      </c>
      <c r="K26" s="220" t="e">
        <f t="array" aca="1" ref="K26" ca="1">SUM(IF($E$18:$E$22=$A$26,IF($F$23:$JG$23=$K$24,$F$18:$JG$22)))</f>
        <v>#NAME?</v>
      </c>
      <c r="L26" s="220" t="e">
        <f t="array" aca="1" ref="L26" ca="1">SUM(IF($E$18:$E$22=$A$26,IF($F$23:$JG$23=$L$24,$F$18:$JG$22)))</f>
        <v>#NAME?</v>
      </c>
      <c r="M26" s="220" t="e">
        <f t="array" aca="1" ref="M26" ca="1">SUM(IF($E$18:$E$22=$A$26,IF($F$23:$JG$23=$M$24,$F$18:$JG$22)))</f>
        <v>#NAME?</v>
      </c>
      <c r="N26" s="220" t="e">
        <f t="array" aca="1" ref="N26" ca="1">SUM(IF($E$18:$E$22=$A$26,IF($F$23:$JG$23=$N$24,$F$18:$JG$22)))</f>
        <v>#NAME?</v>
      </c>
      <c r="O26" s="220" t="e">
        <f t="array" aca="1" ref="O26" ca="1">SUM(IF($E$18:$E$22=$A$26,IF($F$23:$JG$23=$O$24,$F$18:$JG$22)))</f>
        <v>#NAME?</v>
      </c>
      <c r="P26" s="220" t="e">
        <f t="array" aca="1" ref="P26" ca="1">SUM(IF($E$18:$E$22=$A$26,IF($F$23:$JG$23=$P$24,$F$18:$JG$22)))</f>
        <v>#NAME?</v>
      </c>
      <c r="Q26" s="220" t="e">
        <f t="array" aca="1" ref="Q26" ca="1">SUM(IF($E$18:$E$22=$A$26,IF($F$23:$JG$23=$Q$24,$F$18:$JG$22)))</f>
        <v>#NAME?</v>
      </c>
      <c r="R26" s="220" t="e">
        <f t="array" aca="1" ref="R26" ca="1">SUM(IF($E$18:$E$22=$A$26,IF($F$23:$JG$23=$R$24,$F$18:$JG$22)))</f>
        <v>#NAME?</v>
      </c>
      <c r="S26" s="220" t="e">
        <f t="array" aca="1" ref="S26" ca="1">SUM(IF($E$18:$E$22=$A$26,IF($F$23:$JG$23=$S$24,$F$18:$JG$22)))</f>
        <v>#NAME?</v>
      </c>
      <c r="T26" s="220" t="e">
        <f t="array" aca="1" ref="T26" ca="1">SUM(IF($E$18:$E$22=$A$26,IF($F$23:$JG$23=$T$24,$F$18:$JG$22)))</f>
        <v>#NAME?</v>
      </c>
      <c r="U26" s="220" t="e">
        <f t="array" aca="1" ref="U26" ca="1">SUM(IF($E$18:$E$22=$A$26,IF($F$23:$JG$23=$U$24,$F$18:$JG$22)))</f>
        <v>#NAME?</v>
      </c>
      <c r="V26" s="220" t="e">
        <f t="array" aca="1" ref="V26" ca="1">SUM(IF($E$18:$E$22=$A$26,IF($F$23:$JG$23=$V$24,$F$18:$JG$22)))</f>
        <v>#NAME?</v>
      </c>
      <c r="W26" s="220" t="e">
        <f t="array" aca="1" ref="W26" ca="1">SUM(IF($E$18:$E$22=$A$26,IF($F$23:$JG$23=$W$24,$F$18:$JG$22)))</f>
        <v>#NAME?</v>
      </c>
      <c r="X26" s="220" t="e">
        <f t="array" aca="1" ref="X26" ca="1">SUM(IF($E$18:$E$22=$A$26,IF($F$23:$JG$23=$X$24,$F$18:$JG$22)))</f>
        <v>#NAME?</v>
      </c>
      <c r="Y26" s="220" t="e">
        <f t="array" aca="1" ref="Y26" ca="1">SUM(IF($E$18:$E$22=$A$26,IF($F$23:$JG$23=$Y$24,$F$18:$JG$22)))</f>
        <v>#NAME?</v>
      </c>
      <c r="Z26" s="220" t="e">
        <f t="array" aca="1" ref="Z26" ca="1">SUM(IF($E$18:$E$22=$A$26,IF($F$23:$JG$23=$Z$24,$F$18:$JG$22)))</f>
        <v>#NAME?</v>
      </c>
      <c r="AA26" s="220" t="e">
        <f t="array" aca="1" ref="AA26" ca="1">SUM(IF($E$18:$E$22=$A$26,IF($F$23:$JG$23=$AA$24,$F$18:$JG$22)))</f>
        <v>#NAME?</v>
      </c>
      <c r="AB26" s="220" t="e">
        <f t="array" aca="1" ref="AB26" ca="1">SUM(IF($E$18:$E$22=$A$26,IF($F$23:$JG$23=$AB$24,$F$18:$JG$22)))</f>
        <v>#NAME?</v>
      </c>
      <c r="AC26" s="220" t="e">
        <f t="array" aca="1" ref="AC26" ca="1">SUM(IF($E$18:$E$22=$A$26,IF($F$23:$JG$23=$AC$24,$F$18:$JG$22)))</f>
        <v>#NAME?</v>
      </c>
      <c r="AD26" s="220" t="e">
        <f t="array" aca="1" ref="AD26" ca="1">SUM(IF($E$18:$E$22=$A$26,IF($F$23:$JG$23=$AD$24,$F$18:$JG$22)))</f>
        <v>#NAME?</v>
      </c>
      <c r="AE26" s="220" t="e">
        <f t="array" aca="1" ref="AE26" ca="1">SUM(IF($E$18:$E$22=$A$26,IF($F$23:$JG$23=$AE$24,$F$18:$JG$22)))</f>
        <v>#NAME?</v>
      </c>
      <c r="AF26" s="220" t="e">
        <f t="array" aca="1" ref="AF26" ca="1">SUM(IF($E$18:$E$22=$A$26,IF($F$23:$JG$23=$AF$24,$F$18:$JG$22)))</f>
        <v>#NAME?</v>
      </c>
      <c r="AG26" s="220" t="e">
        <f t="array" aca="1" ref="AG26" ca="1">SUM(IF($E$18:$E$22=$A$26,IF($F$23:$JG$23=$AG$24,$F$18:$JG$22)))</f>
        <v>#NAME?</v>
      </c>
      <c r="AH26" s="220" t="e">
        <f t="array" aca="1" ref="AH26" ca="1">SUM(IF($E$18:$E$22=$A$26,IF($F$23:$JG$23=$AH$24,$F$18:$JG$22)))</f>
        <v>#NAME?</v>
      </c>
      <c r="AI26" s="220" t="e">
        <f t="array" aca="1" ref="AI26" ca="1">SUM(IF($E$18:$E$22=$A$26,IF($F$23:$JG$23=$AI$24,$F$18:$JG$22)))</f>
        <v>#NAME?</v>
      </c>
      <c r="AJ26" s="220" t="e">
        <f t="array" aca="1" ref="AJ26" ca="1">SUM(IF($E$18:$E$22=$A$26,IF($F$23:$JG$23=$AJ$24,$F$18:$JG$22)))</f>
        <v>#NAME?</v>
      </c>
      <c r="AK26" s="220" t="e">
        <f t="array" aca="1" ref="AK26" ca="1">SUM(IF($E$18:$E$22=$A$26,IF($F$23:$JG$23=$AK$24,$F$18:$JG$22)))</f>
        <v>#NAME?</v>
      </c>
      <c r="AL26" s="220" t="e">
        <f t="array" aca="1" ref="AL26" ca="1">SUM(IF($E$18:$E$22=$A$26,IF($F$23:$JG$23=$AL$24,$F$18:$JG$22)))</f>
        <v>#NAME?</v>
      </c>
      <c r="AM26" s="220" t="e">
        <f t="array" aca="1" ref="AM26" ca="1">SUM(IF($E$18:$E$22=$A$26,IF($F$23:$JG$23=$AM$24,$F$18:$JG$22)))</f>
        <v>#NAME?</v>
      </c>
      <c r="AN26" s="220" t="e">
        <f t="array" aca="1" ref="AN26" ca="1">SUM(IF($E$18:$E$22=$A$26,IF($F$23:$JG$23=$AN$24,$F$18:$JG$22)))</f>
        <v>#NAME?</v>
      </c>
      <c r="AO26" s="220" t="e">
        <f t="array" aca="1" ref="AO26" ca="1">SUM(IF($E$18:$E$22=$A$26,IF($F$23:$JG$23=$AO$24,$F$18:$JG$22)))</f>
        <v>#NAME?</v>
      </c>
      <c r="AP26" s="220" t="e">
        <f t="array" aca="1" ref="AP26" ca="1">SUM(IF($E$18:$E$22=$A$26,IF($F$23:$JG$23=$AP$24,$F$18:$JG$22)))</f>
        <v>#NAME?</v>
      </c>
      <c r="AQ26" s="220" t="e">
        <f t="array" aca="1" ref="AQ26" ca="1">SUM(IF($E$18:$E$22=$A$26,IF($F$23:$JG$23=$AQ$24,$F$18:$JG$22)))</f>
        <v>#NAME?</v>
      </c>
      <c r="AR26" s="220" t="e">
        <f t="array" aca="1" ref="AR26" ca="1">SUM(IF($E$18:$E$22=$A$26,IF($F$23:$JG$23=$AR$24,$F$18:$JG$22)))</f>
        <v>#NAME?</v>
      </c>
      <c r="AS26" s="220" t="e">
        <f t="array" aca="1" ref="AS26" ca="1">SUM(IF($E$18:$E$22=$A$26,IF($F$23:$JG$23=$AS$24,$F$18:$JG$22)))</f>
        <v>#NAME?</v>
      </c>
      <c r="AT26" s="220" t="e">
        <f t="array" aca="1" ref="AT26" ca="1">SUM(IF($E$18:$E$22=$A$26,IF($F$23:$JG$23=$AT$24,$F$18:$JG$22)))</f>
        <v>#NAME?</v>
      </c>
      <c r="AU26" s="220" t="e">
        <f t="array" aca="1" ref="AU26" ca="1">SUM(IF($E$18:$E$22=$A$26,IF($F$23:$JG$23=$AU$24,$F$18:$JG$22)))</f>
        <v>#NAME?</v>
      </c>
      <c r="AV26" s="220" t="e">
        <f t="array" aca="1" ref="AV26" ca="1">SUM(IF($E$18:$E$22=$A$26,IF($F$23:$JG$23=$AV$24,$F$18:$JG$22)))</f>
        <v>#NAME?</v>
      </c>
      <c r="AW26" s="220" t="e">
        <f t="array" aca="1" ref="AW26" ca="1">SUM(IF($E$18:$E$22=$A$26,IF($F$23:$JG$23=$AW$24,$F$18:$JG$22)))</f>
        <v>#NAME?</v>
      </c>
      <c r="AX26" s="220" t="e">
        <f t="array" aca="1" ref="AX26" ca="1">SUM(IF($E$18:$E$22=$A$26,IF($F$23:$JG$23=$AX$24,$F$18:$JG$22)))</f>
        <v>#NAME?</v>
      </c>
      <c r="AY26" s="220" t="e">
        <f t="array" aca="1" ref="AY26" ca="1">SUM(IF($E$18:$E$22=$A$26,IF($F$23:$JG$23=$AY$24,$F$18:$JG$22)))</f>
        <v>#NAME?</v>
      </c>
      <c r="AZ26" s="220" t="e">
        <f t="array" aca="1" ref="AZ26" ca="1">SUM(IF($E$18:$E$22=$A$26,IF($F$23:$JG$23=$AZ$24,$F$18:$JG$22)))</f>
        <v>#NAME?</v>
      </c>
      <c r="BA26" s="220" t="e">
        <f t="array" aca="1" ref="BA26" ca="1">SUM(IF($E$18:$E$22=$A$26,IF($F$23:$JG$23=$BA$24,$F$18:$JG$22)))</f>
        <v>#NAME?</v>
      </c>
      <c r="BB26" s="220" t="e">
        <f t="array" aca="1" ref="BB26" ca="1">SUM(IF($E$18:$E$22=$A$26,IF($F$23:$JG$23=$BB$24,$F$18:$JG$22)))</f>
        <v>#NAME?</v>
      </c>
      <c r="BC26" s="220" t="e">
        <f t="array" aca="1" ref="BC26" ca="1">SUM(IF($E$18:$E$22=$A$26,IF($F$23:$JG$23=$BC$24,$F$18:$JG$22)))</f>
        <v>#NAME?</v>
      </c>
      <c r="BD26" s="220" t="e">
        <f t="array" aca="1" ref="BD26" ca="1">SUM(IF($E$18:$E$22=$A$26,IF($F$23:$JG$23=$BD$24,$F$18:$JG$22)))</f>
        <v>#NAME?</v>
      </c>
      <c r="BE26" s="220" t="e">
        <f t="array" aca="1" ref="BE26" ca="1">SUM(IF($E$18:$E$22=$A$26,IF($F$23:$JG$23=$BE$24,$F$18:$JG$22)))</f>
        <v>#NAME?</v>
      </c>
      <c r="BF26" s="220" t="e">
        <f t="array" aca="1" ref="BF26" ca="1">SUM(IF($E$18:$E$22=$A$26,IF($F$23:$JG$23=$BF$24,$F$18:$JG$22)))</f>
        <v>#NAME?</v>
      </c>
      <c r="BG26" s="220" t="e">
        <f t="array" aca="1" ref="BG26" ca="1">SUM(IF($E$18:$E$22=$A$26,IF($F$23:$JG$23=$BG$24,$F$18:$JG$22)))</f>
        <v>#NAME?</v>
      </c>
      <c r="BH26" s="220" t="e">
        <f t="array" aca="1" ref="BH26" ca="1">SUM(IF($E$18:$E$22=$A$26,IF($F$23:$JG$23=$BH$24,$F$18:$JG$22)))</f>
        <v>#NAME?</v>
      </c>
      <c r="BI26" s="220" t="e">
        <f t="array" aca="1" ref="BI26" ca="1">SUM(IF($E$18:$E$22=$A$26,IF($F$23:$JG$23=$BI$24,$F$18:$JG$22)))</f>
        <v>#NAME?</v>
      </c>
      <c r="BJ26" s="220" t="e">
        <f t="array" aca="1" ref="BJ26" ca="1">SUM(IF($E$18:$E$22=$A$26,IF($F$23:$JG$23=$BJ$24,$F$18:$JG$22)))</f>
        <v>#NAME?</v>
      </c>
      <c r="BK26" s="220" t="e">
        <f t="array" aca="1" ref="BK26" ca="1">SUM(IF($E$18:$E$22=$A$26,IF($F$23:$JG$23=$BK$24,$F$18:$JG$22)))</f>
        <v>#NAME?</v>
      </c>
      <c r="BL26" s="220" t="e">
        <f t="array" aca="1" ref="BL26" ca="1">SUM(IF($E$18:$E$22=$A$26,IF($F$23:$JG$23=$BL$24,$F$18:$JG$22)))</f>
        <v>#NAME?</v>
      </c>
      <c r="BM26" s="220" t="e">
        <f t="array" aca="1" ref="BM26" ca="1">SUM(IF($E$18:$E$22=$A$26,IF($F$23:$JG$23=$BM$24,$F$18:$JG$22)))</f>
        <v>#NAME?</v>
      </c>
      <c r="BN26" s="220" t="e">
        <f t="array" aca="1" ref="BN26" ca="1">SUM(IF($E$18:$E$22=$A$26,IF($F$23:$JG$23=$BN$24,$F$18:$JG$22)))</f>
        <v>#NAME?</v>
      </c>
      <c r="BO26" s="220" t="e">
        <f t="array" aca="1" ref="BO26" ca="1">SUM(IF($E$18:$E$22=$A$26,IF($F$23:$JG$23=$BO$24,$F$18:$JG$22)))</f>
        <v>#NAME?</v>
      </c>
      <c r="BP26" s="220" t="e">
        <f t="array" aca="1" ref="BP26" ca="1">SUM(IF($E$18:$E$22=$A$26,IF($F$23:$JG$23=$BP$24,$F$18:$JG$22)))</f>
        <v>#NAME?</v>
      </c>
      <c r="BQ26" s="220" t="e">
        <f t="array" aca="1" ref="BQ26" ca="1">SUM(IF($E$18:$E$22=$A$26,IF($F$23:$JG$23=$BQ$24,$F$18:$JG$22)))</f>
        <v>#NAME?</v>
      </c>
      <c r="BR26" s="220" t="e">
        <f t="array" aca="1" ref="BR26" ca="1">SUM(IF($E$18:$E$22=$A$26,IF($F$23:$JG$23=$BR$24,$F$18:$JG$22)))</f>
        <v>#NAME?</v>
      </c>
      <c r="BS26" s="220" t="e">
        <f t="array" aca="1" ref="BS26" ca="1">SUM(IF($E$18:$E$22=$A$26,IF($F$23:$JG$23=$BS$24,$F$18:$JG$22)))</f>
        <v>#NAME?</v>
      </c>
      <c r="BT26" s="220" t="e">
        <f t="array" aca="1" ref="BT26" ca="1">SUM(IF($E$18:$E$22=$A$26,IF($F$23:$JG$23=$BT$24,$F$18:$JG$22)))</f>
        <v>#NAME?</v>
      </c>
      <c r="BU26" s="220" t="e">
        <f t="array" aca="1" ref="BU26" ca="1">SUM(IF($E$18:$E$22=$A$26,IF($F$23:$JG$23=$BU$24,$F$18:$JG$22)))</f>
        <v>#NAME?</v>
      </c>
      <c r="BV26" s="220" t="e">
        <f t="array" aca="1" ref="BV26" ca="1">SUM(IF($E$18:$E$22=$A$26,IF($F$23:$JG$23=$BV$24,$F$18:$JG$22)))</f>
        <v>#NAME?</v>
      </c>
      <c r="BW26" s="220" t="e">
        <f t="array" aca="1" ref="BW26" ca="1">SUM(IF($E$18:$E$22=$A$26,IF($F$23:$JG$23=$BW$24,$F$18:$JG$22)))</f>
        <v>#NAME?</v>
      </c>
      <c r="BX26" s="220" t="e">
        <f t="array" aca="1" ref="BX26" ca="1">SUM(IF($E$18:$E$22=$A$26,IF($F$23:$JG$23=$BX$24,$F$18:$JG$22)))</f>
        <v>#NAME?</v>
      </c>
      <c r="BY26" s="220" t="e">
        <f t="array" aca="1" ref="BY26" ca="1">SUM(IF($E$18:$E$22=$A$26,IF($F$23:$JG$23=$BY$24,$F$18:$JG$22)))</f>
        <v>#NAME?</v>
      </c>
      <c r="BZ26" s="220" t="e">
        <f t="array" aca="1" ref="BZ26" ca="1">SUM(IF($E$18:$E$22=$A$26,IF($F$23:$JG$23=$BZ$24,$F$18:$JG$22)))</f>
        <v>#NAME?</v>
      </c>
      <c r="CA26" s="220" t="e">
        <f t="array" aca="1" ref="CA26" ca="1">SUM(IF($E$18:$E$22=$A$26,IF($F$23:$JG$23=$CA$24,$F$18:$JG$22)))</f>
        <v>#NAME?</v>
      </c>
      <c r="CB26" s="220" t="e">
        <f t="array" aca="1" ref="CB26" ca="1">SUM(IF($E$18:$E$22=$A$26,IF($F$23:$JG$23=$CB$24,$F$18:$JG$22)))</f>
        <v>#NAME?</v>
      </c>
      <c r="CC26" s="220" t="e">
        <f t="array" aca="1" ref="CC26" ca="1">SUM(IF($E$18:$E$22=$A$26,IF($F$23:$JG$23=$CC$24,$F$18:$JG$22)))</f>
        <v>#NAME?</v>
      </c>
      <c r="CD26" s="220" t="e">
        <f t="array" aca="1" ref="CD26" ca="1">SUM(IF($E$18:$E$22=$A$26,IF($F$23:$JG$23=$CD$24,$F$18:$JG$22)))</f>
        <v>#NAME?</v>
      </c>
      <c r="CE26" s="220" t="e">
        <f t="array" aca="1" ref="CE26" ca="1">SUM(IF($E$18:$E$22=$A$26,IF($F$23:$JG$23=$CE$24,$F$18:$JG$22)))</f>
        <v>#NAME?</v>
      </c>
      <c r="CF26" s="220" t="e">
        <f t="array" aca="1" ref="CF26" ca="1">SUM(IF($E$18:$E$22=$A$26,IF($F$23:$JG$23=$CF$24,$F$18:$JG$22)))</f>
        <v>#NAME?</v>
      </c>
      <c r="CG26" s="220" t="e">
        <f t="array" aca="1" ref="CG26" ca="1">SUM(IF($E$18:$E$22=$A$26,IF($F$23:$JG$23=$CG$24,$F$18:$JG$22)))</f>
        <v>#NAME?</v>
      </c>
      <c r="CH26" s="220" t="e">
        <f t="array" aca="1" ref="CH26" ca="1">SUM(IF($E$18:$E$22=$A$26,IF($F$23:$JG$23=$CH$24,$F$18:$JG$22)))</f>
        <v>#NAME?</v>
      </c>
      <c r="CI26" s="220" t="e">
        <f t="array" aca="1" ref="CI26" ca="1">SUM(IF($E$18:$E$22=$A$26,IF($F$23:$JG$23=$CI$24,$F$18:$JG$22)))</f>
        <v>#NAME?</v>
      </c>
      <c r="CJ26" s="220" t="e">
        <f t="array" aca="1" ref="CJ26" ca="1">SUM(IF($E$18:$E$22=$A$26,IF($F$23:$JG$23=$CJ$24,$F$18:$JG$22)))</f>
        <v>#NAME?</v>
      </c>
      <c r="CK26" s="220" t="e">
        <f t="array" aca="1" ref="CK26" ca="1">SUM(IF($E$18:$E$22=$A$26,IF($F$23:$JG$23=$CK$24,$F$18:$JG$22)))</f>
        <v>#NAME?</v>
      </c>
      <c r="CL26" s="220" t="e">
        <f t="array" aca="1" ref="CL26" ca="1">SUM(IF($E$18:$E$22=$A$26,IF($F$23:$JG$23=$CL$24,$F$18:$JG$22)))</f>
        <v>#NAME?</v>
      </c>
      <c r="CM26" s="220" t="e">
        <f t="array" aca="1" ref="CM26" ca="1">SUM(IF($E$18:$E$22=$A$26,IF($F$23:$JG$23=$CM$24,$F$18:$JG$22)))</f>
        <v>#NAME?</v>
      </c>
      <c r="CN26" s="220" t="e">
        <f t="array" aca="1" ref="CN26" ca="1">SUM(IF($E$18:$E$22=$A$26,IF($F$23:$JG$23=$CN$24,$F$18:$JG$22)))</f>
        <v>#NAME?</v>
      </c>
      <c r="CO26" s="220" t="e">
        <f t="array" aca="1" ref="CO26" ca="1">SUM(IF($E$18:$E$22=$A$26,IF($F$23:$JG$23=$CO$24,$F$18:$JG$22)))</f>
        <v>#NAME?</v>
      </c>
      <c r="CP26" s="220" t="e">
        <f t="array" aca="1" ref="CP26" ca="1">SUM(IF($E$18:$E$22=$A$26,IF($F$23:$JG$23=$CP$24,$F$18:$JG$22)))</f>
        <v>#NAME?</v>
      </c>
      <c r="CQ26" s="220" t="e">
        <f t="array" aca="1" ref="CQ26" ca="1">SUM(IF($E$18:$E$22=$A$26,IF($F$23:$JG$23=$CQ$24,$F$18:$JG$22)))</f>
        <v>#NAME?</v>
      </c>
      <c r="CR26" s="220" t="e">
        <f t="array" aca="1" ref="CR26" ca="1">SUM(IF($E$18:$E$22=$A$26,IF($F$23:$JG$23=$CR$24,$F$18:$JG$22)))</f>
        <v>#NAME?</v>
      </c>
      <c r="CS26" s="220" t="e">
        <f t="array" aca="1" ref="CS26" ca="1">SUM(IF($E$18:$E$22=$A$26,IF($F$23:$JG$23=$CS$24,$F$18:$JG$22)))</f>
        <v>#NAME?</v>
      </c>
      <c r="CT26" s="220" t="e">
        <f t="array" aca="1" ref="CT26" ca="1">SUM(IF($E$18:$E$22=$A$26,IF($F$23:$JG$23=$CT$24,$F$18:$JG$22)))</f>
        <v>#NAME?</v>
      </c>
      <c r="CU26" s="220" t="e">
        <f t="array" aca="1" ref="CU26" ca="1">SUM(IF($E$18:$E$22=$A$26,IF($F$23:$JG$23=$CU$24,$F$18:$JG$22)))</f>
        <v>#NAME?</v>
      </c>
      <c r="CV26" s="220" t="e">
        <f t="array" aca="1" ref="CV26" ca="1">SUM(IF($E$18:$E$22=$A$26,IF($F$23:$JG$23=$CV$24,$F$18:$JG$22)))</f>
        <v>#NAME?</v>
      </c>
      <c r="CW26" s="220" t="e">
        <f t="array" aca="1" ref="CW26" ca="1">SUM(IF($E$18:$E$22=$A$26,IF($F$23:$JG$23=$CW$24,$F$18:$JG$22)))</f>
        <v>#NAME?</v>
      </c>
      <c r="CX26" s="220" t="e">
        <f t="array" aca="1" ref="CX26" ca="1">SUM(IF($E$18:$E$22=$A$26,IF($F$23:$JG$23=$CX$24,$F$18:$JG$22)))</f>
        <v>#NAME?</v>
      </c>
      <c r="CY26" s="220" t="e">
        <f t="array" aca="1" ref="CY26" ca="1">SUM(IF($E$18:$E$22=$A$26,IF($F$23:$JG$23=$CY$24,$F$18:$JG$22)))</f>
        <v>#NAME?</v>
      </c>
      <c r="CZ26" s="220" t="e">
        <f t="array" aca="1" ref="CZ26" ca="1">SUM(IF($E$18:$E$22=$A$26,IF($F$23:$JG$23=$CZ$24,$F$18:$JG$22)))</f>
        <v>#NAME?</v>
      </c>
      <c r="DA26" s="220" t="e">
        <f t="array" aca="1" ref="DA26" ca="1">SUM(IF($E$18:$E$22=$A$26,IF($F$23:$JG$23=$DA$24,$F$18:$JG$22)))</f>
        <v>#NAME?</v>
      </c>
      <c r="DB26" s="220" t="e">
        <f t="array" aca="1" ref="DB26" ca="1">SUM(IF($E$18:$E$22=$A$26,IF($F$23:$JG$23=$DB$24,$F$18:$JG$22)))</f>
        <v>#NAME?</v>
      </c>
      <c r="DC26" s="220" t="e">
        <f t="array" aca="1" ref="DC26" ca="1">SUM(IF($E$18:$E$22=$A$26,IF($F$23:$JG$23=$DC$24,$F$18:$JG$22)))</f>
        <v>#NAME?</v>
      </c>
      <c r="DD26" s="220" t="e">
        <f t="array" aca="1" ref="DD26" ca="1">SUM(IF($E$18:$E$22=$A$26,IF($F$23:$JG$23=$DD$24,$F$18:$JG$22)))</f>
        <v>#NAME?</v>
      </c>
      <c r="DE26" s="220" t="e">
        <f t="array" aca="1" ref="DE26" ca="1">SUM(IF($E$18:$E$22=$A$26,IF($F$23:$JG$23=$DE$24,$F$18:$JG$22)))</f>
        <v>#NAME?</v>
      </c>
      <c r="DF26" s="220" t="e">
        <f t="array" aca="1" ref="DF26" ca="1">SUM(IF($E$18:$E$22=$A$26,IF($F$23:$JG$23=$DF$24,$F$18:$JG$22)))</f>
        <v>#NAME?</v>
      </c>
      <c r="DG26" s="220" t="e">
        <f t="array" aca="1" ref="DG26" ca="1">SUM(IF($E$18:$E$22=$A$26,IF($F$23:$JG$23=$DG$24,$F$18:$JG$22)))</f>
        <v>#NAME?</v>
      </c>
      <c r="DH26" s="220" t="e">
        <f t="array" aca="1" ref="DH26" ca="1">SUM(IF($E$18:$E$22=$A$26,IF($F$23:$JG$23=$DH$24,$F$18:$JG$22)))</f>
        <v>#NAME?</v>
      </c>
      <c r="DI26" s="220" t="e">
        <f t="array" aca="1" ref="DI26" ca="1">SUM(IF($E$18:$E$22=$A$26,IF($F$23:$JG$23=$DI$24,$F$18:$JG$22)))</f>
        <v>#NAME?</v>
      </c>
      <c r="DJ26" s="220" t="e">
        <f t="array" aca="1" ref="DJ26" ca="1">SUM(IF($E$18:$E$22=$A$26,IF($F$23:$JG$23=$DJ$24,$F$18:$JG$22)))</f>
        <v>#NAME?</v>
      </c>
      <c r="DK26" s="220" t="e">
        <f t="array" aca="1" ref="DK26" ca="1">SUM(IF($E$18:$E$22=$A$26,IF($F$23:$JG$23=$DK$24,$F$18:$JG$22)))</f>
        <v>#NAME?</v>
      </c>
      <c r="DL26" s="220" t="e">
        <f t="array" aca="1" ref="DL26" ca="1">SUM(IF($E$18:$E$22=$A$26,IF($F$23:$JG$23=$DL$24,$F$18:$JG$22)))</f>
        <v>#NAME?</v>
      </c>
      <c r="DM26" s="220" t="e">
        <f t="array" aca="1" ref="DM26" ca="1">SUM(IF($E$18:$E$22=$A$26,IF($F$23:$JG$23=$DM$24,$F$18:$JG$22)))</f>
        <v>#NAME?</v>
      </c>
      <c r="DN26" s="220" t="e">
        <f t="array" aca="1" ref="DN26" ca="1">SUM(IF($E$18:$E$22=$A$26,IF($F$23:$JG$23=$DN$24,$F$18:$JG$22)))</f>
        <v>#NAME?</v>
      </c>
      <c r="DO26" s="220" t="e">
        <f t="array" aca="1" ref="DO26" ca="1">SUM(IF($E$18:$E$22=$A$26,IF($F$23:$JG$23=$DO$24,$F$18:$JG$22)))</f>
        <v>#NAME?</v>
      </c>
      <c r="DP26" s="220" t="e">
        <f t="array" aca="1" ref="DP26" ca="1">SUM(IF($E$18:$E$22=$A$26,IF($F$23:$JG$23=$DP$24,$F$18:$JG$22)))</f>
        <v>#NAME?</v>
      </c>
      <c r="DQ26" s="220" t="e">
        <f t="array" aca="1" ref="DQ26" ca="1">SUM(IF($E$18:$E$22=$A$26,IF($F$23:$JG$23=$DQ$24,$F$18:$JG$22)))</f>
        <v>#NAME?</v>
      </c>
      <c r="DR26" s="220" t="e">
        <f t="array" aca="1" ref="DR26" ca="1">SUM(IF($E$18:$E$22=$A$26,IF($F$23:$JG$23=$DR$24,$F$18:$JG$22)))</f>
        <v>#NAME?</v>
      </c>
      <c r="DS26" s="220" t="e">
        <f t="array" aca="1" ref="DS26" ca="1">SUM(IF($E$18:$E$22=$A$26,IF($F$23:$JG$23=$DS$24,$F$18:$JG$22)))</f>
        <v>#NAME?</v>
      </c>
      <c r="DT26" s="220" t="e">
        <f t="array" aca="1" ref="DT26" ca="1">SUM(IF($E$18:$E$22=$A$26,IF($F$23:$JG$23=$DT$24,$F$18:$JG$22)))</f>
        <v>#NAME?</v>
      </c>
      <c r="DU26" s="220" t="e">
        <f t="array" aca="1" ref="DU26" ca="1">SUM(IF($E$18:$E$22=$A$26,IF($F$23:$JG$23=$DU$24,$F$18:$JG$22)))</f>
        <v>#NAME?</v>
      </c>
      <c r="DV26" s="220" t="e">
        <f t="array" aca="1" ref="DV26" ca="1">SUM(IF($E$18:$E$22=$A$26,IF($F$23:$JG$23=$DV$24,$F$18:$JG$22)))</f>
        <v>#NAME?</v>
      </c>
      <c r="DW26" s="220" t="e">
        <f t="array" aca="1" ref="DW26" ca="1">SUM(IF($E$18:$E$22=$A$26,IF($F$23:$JG$23=$DW$24,$F$18:$JG$22)))</f>
        <v>#NAME?</v>
      </c>
      <c r="DX26" s="220" t="e">
        <f t="array" aca="1" ref="DX26" ca="1">SUM(IF($E$18:$E$22=$A$26,IF($F$23:$JG$23=$DX$24,$F$18:$JG$22)))</f>
        <v>#NAME?</v>
      </c>
      <c r="DY26" s="220" t="e">
        <f t="array" aca="1" ref="DY26" ca="1">SUM(IF($E$18:$E$22=$A$26,IF($F$23:$JG$23=$DY$24,$F$18:$JG$22)))</f>
        <v>#NAME?</v>
      </c>
      <c r="DZ26" s="220" t="e">
        <f t="array" aca="1" ref="DZ26" ca="1">SUM(IF($E$18:$E$22=$A$26,IF($F$23:$JG$23=$DZ$24,$F$18:$JG$22)))</f>
        <v>#NAME?</v>
      </c>
      <c r="EA26" s="220" t="e">
        <f t="array" aca="1" ref="EA26" ca="1">SUM(IF($E$18:$E$22=$A$26,IF($F$23:$JG$23=$EA$24,$F$18:$JG$22)))</f>
        <v>#NAME?</v>
      </c>
      <c r="EB26" s="220" t="e">
        <f t="array" aca="1" ref="EB26" ca="1">SUM(IF($E$18:$E$22=$A$26,IF($F$23:$JG$23=$EB$24,$F$18:$JG$22)))</f>
        <v>#NAME?</v>
      </c>
      <c r="EC26" s="220"/>
      <c r="ED26" s="220"/>
      <c r="EE26" s="220"/>
      <c r="EF26" s="220"/>
      <c r="EG26" s="220"/>
      <c r="EH26" s="220"/>
      <c r="EI26" s="220"/>
      <c r="EJ26" s="220"/>
      <c r="EK26" s="220"/>
      <c r="EL26" s="220"/>
      <c r="EM26" s="220"/>
      <c r="EN26" s="220"/>
      <c r="EO26" s="220"/>
      <c r="EP26" s="220"/>
      <c r="EQ26" s="220"/>
      <c r="ER26" s="220"/>
      <c r="ES26" s="220"/>
      <c r="ET26" s="220"/>
      <c r="EU26" s="220"/>
      <c r="EV26" s="220"/>
      <c r="EW26" s="220"/>
      <c r="EX26" s="220"/>
      <c r="EY26" s="220"/>
      <c r="EZ26" s="220"/>
      <c r="FA26" s="220"/>
      <c r="FB26" s="220"/>
      <c r="FC26" s="220"/>
      <c r="FD26" s="220"/>
      <c r="FE26" s="220"/>
      <c r="FF26" s="220"/>
      <c r="FG26" s="220"/>
      <c r="FH26" s="220"/>
      <c r="FI26" s="220"/>
      <c r="FJ26" s="220"/>
      <c r="FK26" s="220"/>
      <c r="FL26" s="220"/>
      <c r="FM26" s="220"/>
      <c r="FN26" s="220"/>
      <c r="FO26" s="220"/>
      <c r="FP26" s="220"/>
      <c r="FQ26" s="220"/>
      <c r="FR26" s="220"/>
      <c r="FS26" s="220"/>
      <c r="FT26" s="220"/>
      <c r="FU26" s="220"/>
      <c r="FV26" s="220"/>
      <c r="FW26" s="220"/>
      <c r="FX26" s="220"/>
      <c r="FY26" s="220"/>
      <c r="FZ26" s="220"/>
      <c r="GA26" s="220"/>
      <c r="GB26" s="220"/>
      <c r="GC26" s="220"/>
      <c r="GD26" s="220"/>
      <c r="GE26" s="220"/>
      <c r="GF26" s="220"/>
      <c r="GG26" s="220"/>
      <c r="GH26" s="220"/>
      <c r="GI26" s="220"/>
      <c r="GJ26" s="220"/>
      <c r="GK26" s="220"/>
      <c r="GL26" s="220"/>
      <c r="GM26" s="220"/>
      <c r="GN26" s="220"/>
      <c r="GO26" s="220"/>
      <c r="GP26" s="220"/>
      <c r="GQ26" s="220"/>
      <c r="GR26" s="220"/>
      <c r="GS26" s="220"/>
      <c r="GT26" s="220"/>
      <c r="GU26" s="220"/>
      <c r="GV26" s="220"/>
      <c r="GW26" s="220"/>
      <c r="GX26" s="220"/>
      <c r="GY26" s="220"/>
      <c r="GZ26" s="220"/>
      <c r="HA26" s="220"/>
      <c r="HB26" s="220"/>
      <c r="HC26" s="220"/>
      <c r="HD26" s="220"/>
      <c r="HE26" s="220"/>
      <c r="HF26" s="220"/>
      <c r="HG26" s="220"/>
      <c r="HH26" s="220"/>
      <c r="HI26" s="220"/>
      <c r="HJ26" s="220"/>
      <c r="HK26" s="220"/>
      <c r="HL26" s="220"/>
      <c r="HM26" s="220"/>
      <c r="HN26" s="220"/>
      <c r="HO26" s="220"/>
      <c r="HP26" s="220"/>
      <c r="HQ26" s="220"/>
      <c r="HR26" s="220"/>
      <c r="HS26" s="220"/>
      <c r="HT26" s="220"/>
      <c r="HU26" s="220"/>
      <c r="HV26" s="220"/>
      <c r="HW26" s="220"/>
      <c r="HX26" s="220"/>
      <c r="HY26" s="220"/>
      <c r="HZ26" s="220"/>
      <c r="IA26" s="220"/>
      <c r="IB26" s="220"/>
      <c r="IC26" s="220"/>
      <c r="ID26" s="220"/>
      <c r="IE26" s="220"/>
      <c r="IF26" s="220"/>
      <c r="IG26" s="220"/>
      <c r="IH26" s="220"/>
      <c r="II26" s="220"/>
      <c r="IJ26" s="220"/>
      <c r="IK26" s="220"/>
      <c r="IL26" s="220"/>
      <c r="IM26" s="220"/>
      <c r="IN26" s="220"/>
      <c r="IO26" s="220"/>
      <c r="IP26" s="220"/>
      <c r="IQ26" s="220"/>
      <c r="IR26" s="220"/>
      <c r="IS26" s="220"/>
      <c r="IT26" s="220"/>
      <c r="IU26" s="220"/>
      <c r="IV26" s="220"/>
      <c r="IW26" s="220"/>
      <c r="IX26" s="220"/>
      <c r="IY26" s="220"/>
      <c r="IZ26" s="220"/>
      <c r="JA26" s="220"/>
      <c r="JB26" s="220"/>
      <c r="JC26" s="220"/>
      <c r="JD26" s="220"/>
      <c r="JE26" s="220"/>
      <c r="JF26" s="220"/>
      <c r="JG26" s="220"/>
    </row>
    <row r="27" spans="1:267">
      <c r="A27" t="s">
        <v>565</v>
      </c>
      <c r="B27" s="220" t="e">
        <f t="array" aca="1" ref="B27" ca="1">SUM(IF($E$18:$E$22=$A$27,IF($F$23:$JG$23=$B$24,$F$18:$JG$22)))</f>
        <v>#NAME?</v>
      </c>
      <c r="C27" s="220" t="e">
        <f t="array" aca="1" ref="C27" ca="1">SUM(IF($E$18:$E$22=$A$27,IF($F$23:$JG$23=$C$24,$F$18:$JG$22)))</f>
        <v>#NAME?</v>
      </c>
      <c r="D27" s="220" t="e">
        <f t="array" aca="1" ref="D27" ca="1">SUM(IF($E$18:$E$22=$A$27,IF($F$23:$JG$23=$D$24,$F$18:$JG$22)))</f>
        <v>#NAME?</v>
      </c>
      <c r="E27" s="220" t="e">
        <f t="array" aca="1" ref="E27" ca="1">SUM(IF($E$18:$E$22=$A$27,IF($F$23:$JG$23=$E$24,$F$18:$JG$22)))</f>
        <v>#NAME?</v>
      </c>
      <c r="F27" s="220" t="e">
        <f t="array" aca="1" ref="F27" ca="1">SUM(IF($E$18:$E$22=$A$27,IF($F$23:$JG$23=$F$24,$F$18:$JG$22)))</f>
        <v>#NAME?</v>
      </c>
      <c r="G27" s="220" t="e">
        <f t="array" aca="1" ref="G27" ca="1">SUM(IF($E$18:$E$22=$A$27,IF($F$23:$JG$23=$G$24,$F$18:$JG$22)))</f>
        <v>#NAME?</v>
      </c>
      <c r="H27" s="220" t="e">
        <f t="array" aca="1" ref="H27" ca="1">SUM(IF($E$18:$E$22=$A$27,IF($F$23:$JG$23=$H$24,$F$18:$JG$22)))</f>
        <v>#NAME?</v>
      </c>
      <c r="I27" s="220" t="e">
        <f t="array" aca="1" ref="I27" ca="1">SUM(IF($E$18:$E$22=$A$27,IF($F$23:$JG$23=$I$24,$F$18:$JG$22)))</f>
        <v>#NAME?</v>
      </c>
      <c r="J27" s="220" t="e">
        <f t="array" aca="1" ref="J27" ca="1">SUM(IF($E$18:$E$22=$A$27,IF($F$23:$JG$23=$J$24,$F$18:$JG$22)))</f>
        <v>#NAME?</v>
      </c>
      <c r="K27" s="220" t="e">
        <f t="array" aca="1" ref="K27" ca="1">SUM(IF($E$18:$E$22=$A$27,IF($F$23:$JG$23=$K$24,$F$18:$JG$22)))</f>
        <v>#NAME?</v>
      </c>
      <c r="L27" s="220" t="e">
        <f t="array" aca="1" ref="L27" ca="1">SUM(IF($E$18:$E$22=$A$27,IF($F$23:$JG$23=$L$24,$F$18:$JG$22)))</f>
        <v>#NAME?</v>
      </c>
      <c r="M27" s="220" t="e">
        <f t="array" aca="1" ref="M27" ca="1">SUM(IF($E$18:$E$22=$A$27,IF($F$23:$JG$23=$M$24,$F$18:$JG$22)))</f>
        <v>#NAME?</v>
      </c>
      <c r="N27" s="220" t="e">
        <f t="array" aca="1" ref="N27" ca="1">SUM(IF($E$18:$E$22=$A$27,IF($F$23:$JG$23=$N$24,$F$18:$JG$22)))</f>
        <v>#NAME?</v>
      </c>
      <c r="O27" s="220" t="e">
        <f t="array" aca="1" ref="O27" ca="1">SUM(IF($E$18:$E$22=$A$27,IF($F$23:$JG$23=$O$24,$F$18:$JG$22)))</f>
        <v>#NAME?</v>
      </c>
      <c r="P27" s="220" t="e">
        <f t="array" aca="1" ref="P27" ca="1">SUM(IF($E$18:$E$22=$A$27,IF($F$23:$JG$23=$P$24,$F$18:$JG$22)))</f>
        <v>#NAME?</v>
      </c>
      <c r="Q27" s="220" t="e">
        <f t="array" aca="1" ref="Q27" ca="1">SUM(IF($E$18:$E$22=$A$27,IF($F$23:$JG$23=$Q$24,$F$18:$JG$22)))</f>
        <v>#NAME?</v>
      </c>
      <c r="R27" s="220" t="e">
        <f t="array" aca="1" ref="R27" ca="1">SUM(IF($E$18:$E$22=$A$27,IF($F$23:$JG$23=$R$24,$F$18:$JG$22)))</f>
        <v>#NAME?</v>
      </c>
      <c r="S27" s="220" t="e">
        <f t="array" aca="1" ref="S27" ca="1">SUM(IF($E$18:$E$22=$A$27,IF($F$23:$JG$23=$S$24,$F$18:$JG$22)))</f>
        <v>#NAME?</v>
      </c>
      <c r="T27" s="220" t="e">
        <f t="array" aca="1" ref="T27" ca="1">SUM(IF($E$18:$E$22=$A$27,IF($F$23:$JG$23=$T$24,$F$18:$JG$22)))</f>
        <v>#NAME?</v>
      </c>
      <c r="U27" s="220" t="e">
        <f t="array" aca="1" ref="U27" ca="1">SUM(IF($E$18:$E$22=$A$27,IF($F$23:$JG$23=$U$24,$F$18:$JG$22)))</f>
        <v>#NAME?</v>
      </c>
      <c r="V27" s="220" t="e">
        <f t="array" aca="1" ref="V27" ca="1">SUM(IF($E$18:$E$22=$A$27,IF($F$23:$JG$23=$V$24,$F$18:$JG$22)))</f>
        <v>#NAME?</v>
      </c>
      <c r="W27" s="220" t="e">
        <f t="array" aca="1" ref="W27" ca="1">SUM(IF($E$18:$E$22=$A$27,IF($F$23:$JG$23=$W$24,$F$18:$JG$22)))</f>
        <v>#NAME?</v>
      </c>
      <c r="X27" s="220" t="e">
        <f t="array" aca="1" ref="X27" ca="1">SUM(IF($E$18:$E$22=$A$27,IF($F$23:$JG$23=$X$24,$F$18:$JG$22)))</f>
        <v>#NAME?</v>
      </c>
      <c r="Y27" s="220" t="e">
        <f t="array" aca="1" ref="Y27" ca="1">SUM(IF($E$18:$E$22=$A$27,IF($F$23:$JG$23=$Y$24,$F$18:$JG$22)))</f>
        <v>#NAME?</v>
      </c>
      <c r="Z27" s="220" t="e">
        <f t="array" aca="1" ref="Z27" ca="1">SUM(IF($E$18:$E$22=$A$27,IF($F$23:$JG$23=$Z$24,$F$18:$JG$22)))</f>
        <v>#NAME?</v>
      </c>
      <c r="AA27" s="220" t="e">
        <f t="array" aca="1" ref="AA27" ca="1">SUM(IF($E$18:$E$22=$A$27,IF($F$23:$JG$23=$AA$24,$F$18:$JG$22)))</f>
        <v>#NAME?</v>
      </c>
      <c r="AB27" s="220" t="e">
        <f t="array" aca="1" ref="AB27" ca="1">SUM(IF($E$18:$E$22=$A$27,IF($F$23:$JG$23=$AB$24,$F$18:$JG$22)))</f>
        <v>#NAME?</v>
      </c>
      <c r="AC27" s="220" t="e">
        <f t="array" aca="1" ref="AC27" ca="1">SUM(IF($E$18:$E$22=$A$27,IF($F$23:$JG$23=$AC$24,$F$18:$JG$22)))</f>
        <v>#NAME?</v>
      </c>
      <c r="AD27" s="220" t="e">
        <f t="array" aca="1" ref="AD27" ca="1">SUM(IF($E$18:$E$22=$A$27,IF($F$23:$JG$23=$AD$24,$F$18:$JG$22)))</f>
        <v>#NAME?</v>
      </c>
      <c r="AE27" s="220" t="e">
        <f t="array" aca="1" ref="AE27" ca="1">SUM(IF($E$18:$E$22=$A$27,IF($F$23:$JG$23=$AE$24,$F$18:$JG$22)))</f>
        <v>#NAME?</v>
      </c>
      <c r="AF27" s="220" t="e">
        <f t="array" aca="1" ref="AF27" ca="1">SUM(IF($E$18:$E$22=$A$27,IF($F$23:$JG$23=$AF$24,$F$18:$JG$22)))</f>
        <v>#NAME?</v>
      </c>
      <c r="AG27" s="220" t="e">
        <f t="array" aca="1" ref="AG27" ca="1">SUM(IF($E$18:$E$22=$A$27,IF($F$23:$JG$23=$AG$24,$F$18:$JG$22)))</f>
        <v>#NAME?</v>
      </c>
      <c r="AH27" s="220" t="e">
        <f t="array" aca="1" ref="AH27" ca="1">SUM(IF($E$18:$E$22=$A$27,IF($F$23:$JG$23=$AH$24,$F$18:$JG$22)))</f>
        <v>#NAME?</v>
      </c>
      <c r="AI27" s="220" t="e">
        <f t="array" aca="1" ref="AI27" ca="1">SUM(IF($E$18:$E$22=$A$27,IF($F$23:$JG$23=$AI$24,$F$18:$JG$22)))</f>
        <v>#NAME?</v>
      </c>
      <c r="AJ27" s="220" t="e">
        <f t="array" aca="1" ref="AJ27" ca="1">SUM(IF($E$18:$E$22=$A$27,IF($F$23:$JG$23=$AJ$24,$F$18:$JG$22)))</f>
        <v>#NAME?</v>
      </c>
      <c r="AK27" s="220" t="e">
        <f t="array" aca="1" ref="AK27" ca="1">SUM(IF($E$18:$E$22=$A$27,IF($F$23:$JG$23=$AK$24,$F$18:$JG$22)))</f>
        <v>#NAME?</v>
      </c>
      <c r="AL27" s="220" t="e">
        <f t="array" aca="1" ref="AL27" ca="1">SUM(IF($E$18:$E$22=$A$27,IF($F$23:$JG$23=$AL$24,$F$18:$JG$22)))</f>
        <v>#NAME?</v>
      </c>
      <c r="AM27" s="220" t="e">
        <f t="array" aca="1" ref="AM27" ca="1">SUM(IF($E$18:$E$22=$A$27,IF($F$23:$JG$23=$AM$24,$F$18:$JG$22)))</f>
        <v>#NAME?</v>
      </c>
      <c r="AN27" s="220" t="e">
        <f t="array" aca="1" ref="AN27" ca="1">SUM(IF($E$18:$E$22=$A$27,IF($F$23:$JG$23=$AN$24,$F$18:$JG$22)))</f>
        <v>#NAME?</v>
      </c>
      <c r="AO27" s="220" t="e">
        <f t="array" aca="1" ref="AO27" ca="1">SUM(IF($E$18:$E$22=$A$27,IF($F$23:$JG$23=$AO$24,$F$18:$JG$22)))</f>
        <v>#NAME?</v>
      </c>
      <c r="AP27" s="220" t="e">
        <f t="array" aca="1" ref="AP27" ca="1">SUM(IF($E$18:$E$22=$A$27,IF($F$23:$JG$23=$AP$24,$F$18:$JG$22)))</f>
        <v>#NAME?</v>
      </c>
      <c r="AQ27" s="220" t="e">
        <f t="array" aca="1" ref="AQ27" ca="1">SUM(IF($E$18:$E$22=$A$27,IF($F$23:$JG$23=$AQ$24,$F$18:$JG$22)))</f>
        <v>#NAME?</v>
      </c>
      <c r="AR27" s="220" t="e">
        <f t="array" aca="1" ref="AR27" ca="1">SUM(IF($E$18:$E$22=$A$27,IF($F$23:$JG$23=$AR$24,$F$18:$JG$22)))</f>
        <v>#NAME?</v>
      </c>
      <c r="AS27" s="220" t="e">
        <f t="array" aca="1" ref="AS27" ca="1">SUM(IF($E$18:$E$22=$A$27,IF($F$23:$JG$23=$AS$24,$F$18:$JG$22)))</f>
        <v>#NAME?</v>
      </c>
      <c r="AT27" s="220" t="e">
        <f t="array" aca="1" ref="AT27" ca="1">SUM(IF($E$18:$E$22=$A$27,IF($F$23:$JG$23=$AT$24,$F$18:$JG$22)))</f>
        <v>#NAME?</v>
      </c>
      <c r="AU27" s="220" t="e">
        <f t="array" aca="1" ref="AU27" ca="1">SUM(IF($E$18:$E$22=$A$27,IF($F$23:$JG$23=$AU$24,$F$18:$JG$22)))</f>
        <v>#NAME?</v>
      </c>
      <c r="AV27" s="220" t="e">
        <f t="array" aca="1" ref="AV27" ca="1">SUM(IF($E$18:$E$22=$A$27,IF($F$23:$JG$23=$AV$24,$F$18:$JG$22)))</f>
        <v>#NAME?</v>
      </c>
      <c r="AW27" s="220" t="e">
        <f t="array" aca="1" ref="AW27" ca="1">SUM(IF($E$18:$E$22=$A$27,IF($F$23:$JG$23=$AW$24,$F$18:$JG$22)))</f>
        <v>#NAME?</v>
      </c>
      <c r="AX27" s="220" t="e">
        <f t="array" aca="1" ref="AX27" ca="1">SUM(IF($E$18:$E$22=$A$27,IF($F$23:$JG$23=$AX$24,$F$18:$JG$22)))</f>
        <v>#NAME?</v>
      </c>
      <c r="AY27" s="220" t="e">
        <f t="array" aca="1" ref="AY27" ca="1">SUM(IF($E$18:$E$22=$A$27,IF($F$23:$JG$23=$AY$24,$F$18:$JG$22)))</f>
        <v>#NAME?</v>
      </c>
      <c r="AZ27" s="220" t="e">
        <f t="array" aca="1" ref="AZ27" ca="1">SUM(IF($E$18:$E$22=$A$27,IF($F$23:$JG$23=$AZ$24,$F$18:$JG$22)))</f>
        <v>#NAME?</v>
      </c>
      <c r="BA27" s="220" t="e">
        <f t="array" aca="1" ref="BA27" ca="1">SUM(IF($E$18:$E$22=$A$27,IF($F$23:$JG$23=$BA$24,$F$18:$JG$22)))</f>
        <v>#NAME?</v>
      </c>
      <c r="BB27" s="220" t="e">
        <f t="array" aca="1" ref="BB27" ca="1">SUM(IF($E$18:$E$22=$A$27,IF($F$23:$JG$23=$BB$24,$F$18:$JG$22)))</f>
        <v>#NAME?</v>
      </c>
      <c r="BC27" s="220" t="e">
        <f t="array" aca="1" ref="BC27" ca="1">SUM(IF($E$18:$E$22=$A$27,IF($F$23:$JG$23=$BC$24,$F$18:$JG$22)))</f>
        <v>#NAME?</v>
      </c>
      <c r="BD27" s="220" t="e">
        <f t="array" aca="1" ref="BD27" ca="1">SUM(IF($E$18:$E$22=$A$27,IF($F$23:$JG$23=$BD$24,$F$18:$JG$22)))</f>
        <v>#NAME?</v>
      </c>
      <c r="BE27" s="220" t="e">
        <f t="array" aca="1" ref="BE27" ca="1">SUM(IF($E$18:$E$22=$A$27,IF($F$23:$JG$23=$BE$24,$F$18:$JG$22)))</f>
        <v>#NAME?</v>
      </c>
      <c r="BF27" s="220" t="e">
        <f t="array" aca="1" ref="BF27" ca="1">SUM(IF($E$18:$E$22=$A$27,IF($F$23:$JG$23=$BF$24,$F$18:$JG$22)))</f>
        <v>#NAME?</v>
      </c>
      <c r="BG27" s="220" t="e">
        <f t="array" aca="1" ref="BG27" ca="1">SUM(IF($E$18:$E$22=$A$27,IF($F$23:$JG$23=$BG$24,$F$18:$JG$22)))</f>
        <v>#NAME?</v>
      </c>
      <c r="BH27" s="220" t="e">
        <f t="array" aca="1" ref="BH27" ca="1">SUM(IF($E$18:$E$22=$A$27,IF($F$23:$JG$23=$BH$24,$F$18:$JG$22)))</f>
        <v>#NAME?</v>
      </c>
      <c r="BI27" s="220" t="e">
        <f t="array" aca="1" ref="BI27" ca="1">SUM(IF($E$18:$E$22=$A$27,IF($F$23:$JG$23=$BI$24,$F$18:$JG$22)))</f>
        <v>#NAME?</v>
      </c>
      <c r="BJ27" s="220" t="e">
        <f t="array" aca="1" ref="BJ27" ca="1">SUM(IF($E$18:$E$22=$A$27,IF($F$23:$JG$23=$BJ$24,$F$18:$JG$22)))</f>
        <v>#NAME?</v>
      </c>
      <c r="BK27" s="220" t="e">
        <f t="array" aca="1" ref="BK27" ca="1">SUM(IF($E$18:$E$22=$A$27,IF($F$23:$JG$23=$BK$24,$F$18:$JG$22)))</f>
        <v>#NAME?</v>
      </c>
      <c r="BL27" s="220" t="e">
        <f t="array" aca="1" ref="BL27" ca="1">SUM(IF($E$18:$E$22=$A$27,IF($F$23:$JG$23=$BL$24,$F$18:$JG$22)))</f>
        <v>#NAME?</v>
      </c>
      <c r="BM27" s="220" t="e">
        <f t="array" aca="1" ref="BM27" ca="1">SUM(IF($E$18:$E$22=$A$27,IF($F$23:$JG$23=$BM$24,$F$18:$JG$22)))</f>
        <v>#NAME?</v>
      </c>
      <c r="BN27" s="220" t="e">
        <f t="array" aca="1" ref="BN27" ca="1">SUM(IF($E$18:$E$22=$A$27,IF($F$23:$JG$23=$BN$24,$F$18:$JG$22)))</f>
        <v>#NAME?</v>
      </c>
      <c r="BO27" s="220" t="e">
        <f t="array" aca="1" ref="BO27" ca="1">SUM(IF($E$18:$E$22=$A$27,IF($F$23:$JG$23=$BO$24,$F$18:$JG$22)))</f>
        <v>#NAME?</v>
      </c>
      <c r="BP27" s="220" t="e">
        <f t="array" aca="1" ref="BP27" ca="1">SUM(IF($E$18:$E$22=$A$27,IF($F$23:$JG$23=$BP$24,$F$18:$JG$22)))</f>
        <v>#NAME?</v>
      </c>
      <c r="BQ27" s="220" t="e">
        <f t="array" aca="1" ref="BQ27" ca="1">SUM(IF($E$18:$E$22=$A$27,IF($F$23:$JG$23=$BQ$24,$F$18:$JG$22)))</f>
        <v>#NAME?</v>
      </c>
      <c r="BR27" s="220" t="e">
        <f t="array" aca="1" ref="BR27" ca="1">SUM(IF($E$18:$E$22=$A$27,IF($F$23:$JG$23=$BR$24,$F$18:$JG$22)))</f>
        <v>#NAME?</v>
      </c>
      <c r="BS27" s="220" t="e">
        <f t="array" aca="1" ref="BS27" ca="1">SUM(IF($E$18:$E$22=$A$27,IF($F$23:$JG$23=$BS$24,$F$18:$JG$22)))</f>
        <v>#NAME?</v>
      </c>
      <c r="BT27" s="220" t="e">
        <f t="array" aca="1" ref="BT27" ca="1">SUM(IF($E$18:$E$22=$A$27,IF($F$23:$JG$23=$BT$24,$F$18:$JG$22)))</f>
        <v>#NAME?</v>
      </c>
      <c r="BU27" s="220" t="e">
        <f t="array" aca="1" ref="BU27" ca="1">SUM(IF($E$18:$E$22=$A$27,IF($F$23:$JG$23=$BU$24,$F$18:$JG$22)))</f>
        <v>#NAME?</v>
      </c>
      <c r="BV27" s="220" t="e">
        <f t="array" aca="1" ref="BV27" ca="1">SUM(IF($E$18:$E$22=$A$27,IF($F$23:$JG$23=$BV$24,$F$18:$JG$22)))</f>
        <v>#NAME?</v>
      </c>
      <c r="BW27" s="220" t="e">
        <f t="array" aca="1" ref="BW27" ca="1">SUM(IF($E$18:$E$22=$A$27,IF($F$23:$JG$23=$BW$24,$F$18:$JG$22)))</f>
        <v>#NAME?</v>
      </c>
      <c r="BX27" s="220" t="e">
        <f t="array" aca="1" ref="BX27" ca="1">SUM(IF($E$18:$E$22=$A$27,IF($F$23:$JG$23=$BX$24,$F$18:$JG$22)))</f>
        <v>#NAME?</v>
      </c>
      <c r="BY27" s="220" t="e">
        <f t="array" aca="1" ref="BY27" ca="1">SUM(IF($E$18:$E$22=$A$27,IF($F$23:$JG$23=$BY$24,$F$18:$JG$22)))</f>
        <v>#NAME?</v>
      </c>
      <c r="BZ27" s="220" t="e">
        <f t="array" aca="1" ref="BZ27" ca="1">SUM(IF($E$18:$E$22=$A$27,IF($F$23:$JG$23=$BZ$24,$F$18:$JG$22)))</f>
        <v>#NAME?</v>
      </c>
      <c r="CA27" s="220" t="e">
        <f t="array" aca="1" ref="CA27" ca="1">SUM(IF($E$18:$E$22=$A$27,IF($F$23:$JG$23=$CA$24,$F$18:$JG$22)))</f>
        <v>#NAME?</v>
      </c>
      <c r="CB27" s="220" t="e">
        <f t="array" aca="1" ref="CB27" ca="1">SUM(IF($E$18:$E$22=$A$27,IF($F$23:$JG$23=$CB$24,$F$18:$JG$22)))</f>
        <v>#NAME?</v>
      </c>
      <c r="CC27" s="220" t="e">
        <f t="array" aca="1" ref="CC27" ca="1">SUM(IF($E$18:$E$22=$A$27,IF($F$23:$JG$23=$CC$24,$F$18:$JG$22)))</f>
        <v>#NAME?</v>
      </c>
      <c r="CD27" s="220" t="e">
        <f t="array" aca="1" ref="CD27" ca="1">SUM(IF($E$18:$E$22=$A$27,IF($F$23:$JG$23=$CD$24,$F$18:$JG$22)))</f>
        <v>#NAME?</v>
      </c>
      <c r="CE27" s="220" t="e">
        <f t="array" aca="1" ref="CE27" ca="1">SUM(IF($E$18:$E$22=$A$27,IF($F$23:$JG$23=$CE$24,$F$18:$JG$22)))</f>
        <v>#NAME?</v>
      </c>
      <c r="CF27" s="220" t="e">
        <f t="array" aca="1" ref="CF27" ca="1">SUM(IF($E$18:$E$22=$A$27,IF($F$23:$JG$23=$CF$24,$F$18:$JG$22)))</f>
        <v>#NAME?</v>
      </c>
      <c r="CG27" s="220" t="e">
        <f t="array" aca="1" ref="CG27" ca="1">SUM(IF($E$18:$E$22=$A$27,IF($F$23:$JG$23=$CG$24,$F$18:$JG$22)))</f>
        <v>#NAME?</v>
      </c>
      <c r="CH27" s="220" t="e">
        <f t="array" aca="1" ref="CH27" ca="1">SUM(IF($E$18:$E$22=$A$27,IF($F$23:$JG$23=$CH$24,$F$18:$JG$22)))</f>
        <v>#NAME?</v>
      </c>
      <c r="CI27" s="220" t="e">
        <f t="array" aca="1" ref="CI27" ca="1">SUM(IF($E$18:$E$22=$A$27,IF($F$23:$JG$23=$CI$24,$F$18:$JG$22)))</f>
        <v>#NAME?</v>
      </c>
      <c r="CJ27" s="220" t="e">
        <f t="array" aca="1" ref="CJ27" ca="1">SUM(IF($E$18:$E$22=$A$27,IF($F$23:$JG$23=$CJ$24,$F$18:$JG$22)))</f>
        <v>#NAME?</v>
      </c>
      <c r="CK27" s="220" t="e">
        <f t="array" aca="1" ref="CK27" ca="1">SUM(IF($E$18:$E$22=$A$27,IF($F$23:$JG$23=$CK$24,$F$18:$JG$22)))</f>
        <v>#NAME?</v>
      </c>
      <c r="CL27" s="220" t="e">
        <f t="array" aca="1" ref="CL27" ca="1">SUM(IF($E$18:$E$22=$A$27,IF($F$23:$JG$23=$CL$24,$F$18:$JG$22)))</f>
        <v>#NAME?</v>
      </c>
      <c r="CM27" s="220" t="e">
        <f t="array" aca="1" ref="CM27" ca="1">SUM(IF($E$18:$E$22=$A$27,IF($F$23:$JG$23=$CM$24,$F$18:$JG$22)))</f>
        <v>#NAME?</v>
      </c>
      <c r="CN27" s="220" t="e">
        <f t="array" aca="1" ref="CN27" ca="1">SUM(IF($E$18:$E$22=$A$27,IF($F$23:$JG$23=$CN$24,$F$18:$JG$22)))</f>
        <v>#NAME?</v>
      </c>
      <c r="CO27" s="220" t="e">
        <f t="array" aca="1" ref="CO27" ca="1">SUM(IF($E$18:$E$22=$A$27,IF($F$23:$JG$23=$CO$24,$F$18:$JG$22)))</f>
        <v>#NAME?</v>
      </c>
      <c r="CP27" s="220" t="e">
        <f t="array" aca="1" ref="CP27" ca="1">SUM(IF($E$18:$E$22=$A$27,IF($F$23:$JG$23=$CP$24,$F$18:$JG$22)))</f>
        <v>#NAME?</v>
      </c>
      <c r="CQ27" s="220" t="e">
        <f t="array" aca="1" ref="CQ27" ca="1">SUM(IF($E$18:$E$22=$A$27,IF($F$23:$JG$23=$CQ$24,$F$18:$JG$22)))</f>
        <v>#NAME?</v>
      </c>
      <c r="CR27" s="220" t="e">
        <f t="array" aca="1" ref="CR27" ca="1">SUM(IF($E$18:$E$22=$A$27,IF($F$23:$JG$23=$CR$24,$F$18:$JG$22)))</f>
        <v>#NAME?</v>
      </c>
      <c r="CS27" s="220" t="e">
        <f t="array" aca="1" ref="CS27" ca="1">SUM(IF($E$18:$E$22=$A$27,IF($F$23:$JG$23=$CS$24,$F$18:$JG$22)))</f>
        <v>#NAME?</v>
      </c>
      <c r="CT27" s="220" t="e">
        <f t="array" aca="1" ref="CT27" ca="1">SUM(IF($E$18:$E$22=$A$27,IF($F$23:$JG$23=$CT$24,$F$18:$JG$22)))</f>
        <v>#NAME?</v>
      </c>
      <c r="CU27" s="220" t="e">
        <f t="array" aca="1" ref="CU27" ca="1">SUM(IF($E$18:$E$22=$A$27,IF($F$23:$JG$23=$CU$24,$F$18:$JG$22)))</f>
        <v>#NAME?</v>
      </c>
      <c r="CV27" s="220" t="e">
        <f t="array" aca="1" ref="CV27" ca="1">SUM(IF($E$18:$E$22=$A$27,IF($F$23:$JG$23=$CV$24,$F$18:$JG$22)))</f>
        <v>#NAME?</v>
      </c>
      <c r="CW27" s="220" t="e">
        <f t="array" aca="1" ref="CW27" ca="1">SUM(IF($E$18:$E$22=$A$27,IF($F$23:$JG$23=$CW$24,$F$18:$JG$22)))</f>
        <v>#NAME?</v>
      </c>
      <c r="CX27" s="220" t="e">
        <f t="array" aca="1" ref="CX27" ca="1">SUM(IF($E$18:$E$22=$A$27,IF($F$23:$JG$23=$CX$24,$F$18:$JG$22)))</f>
        <v>#NAME?</v>
      </c>
      <c r="CY27" s="220" t="e">
        <f t="array" aca="1" ref="CY27" ca="1">SUM(IF($E$18:$E$22=$A$27,IF($F$23:$JG$23=$CY$24,$F$18:$JG$22)))</f>
        <v>#NAME?</v>
      </c>
      <c r="CZ27" s="220" t="e">
        <f t="array" aca="1" ref="CZ27" ca="1">SUM(IF($E$18:$E$22=$A$27,IF($F$23:$JG$23=$CZ$24,$F$18:$JG$22)))</f>
        <v>#NAME?</v>
      </c>
      <c r="DA27" s="220" t="e">
        <f t="array" aca="1" ref="DA27" ca="1">SUM(IF($E$18:$E$22=$A$27,IF($F$23:$JG$23=$DA$24,$F$18:$JG$22)))</f>
        <v>#NAME?</v>
      </c>
      <c r="DB27" s="220" t="e">
        <f t="array" aca="1" ref="DB27" ca="1">SUM(IF($E$18:$E$22=$A$27,IF($F$23:$JG$23=$DB$24,$F$18:$JG$22)))</f>
        <v>#NAME?</v>
      </c>
      <c r="DC27" s="220" t="e">
        <f t="array" aca="1" ref="DC27" ca="1">SUM(IF($E$18:$E$22=$A$27,IF($F$23:$JG$23=$DC$24,$F$18:$JG$22)))</f>
        <v>#NAME?</v>
      </c>
      <c r="DD27" s="220" t="e">
        <f t="array" aca="1" ref="DD27" ca="1">SUM(IF($E$18:$E$22=$A$27,IF($F$23:$JG$23=$DD$24,$F$18:$JG$22)))</f>
        <v>#NAME?</v>
      </c>
      <c r="DE27" s="220" t="e">
        <f t="array" aca="1" ref="DE27" ca="1">SUM(IF($E$18:$E$22=$A$27,IF($F$23:$JG$23=$DE$24,$F$18:$JG$22)))</f>
        <v>#NAME?</v>
      </c>
      <c r="DF27" s="220" t="e">
        <f t="array" aca="1" ref="DF27" ca="1">SUM(IF($E$18:$E$22=$A$27,IF($F$23:$JG$23=$DF$24,$F$18:$JG$22)))</f>
        <v>#NAME?</v>
      </c>
      <c r="DG27" s="220" t="e">
        <f t="array" aca="1" ref="DG27" ca="1">SUM(IF($E$18:$E$22=$A$27,IF($F$23:$JG$23=$DG$24,$F$18:$JG$22)))</f>
        <v>#NAME?</v>
      </c>
      <c r="DH27" s="220" t="e">
        <f t="array" aca="1" ref="DH27" ca="1">SUM(IF($E$18:$E$22=$A$27,IF($F$23:$JG$23=$DH$24,$F$18:$JG$22)))</f>
        <v>#NAME?</v>
      </c>
      <c r="DI27" s="220" t="e">
        <f t="array" aca="1" ref="DI27" ca="1">SUM(IF($E$18:$E$22=$A$27,IF($F$23:$JG$23=$DI$24,$F$18:$JG$22)))</f>
        <v>#NAME?</v>
      </c>
      <c r="DJ27" s="220" t="e">
        <f t="array" aca="1" ref="DJ27" ca="1">SUM(IF($E$18:$E$22=$A$27,IF($F$23:$JG$23=$DJ$24,$F$18:$JG$22)))</f>
        <v>#NAME?</v>
      </c>
      <c r="DK27" s="220" t="e">
        <f t="array" aca="1" ref="DK27" ca="1">SUM(IF($E$18:$E$22=$A$27,IF($F$23:$JG$23=$DK$24,$F$18:$JG$22)))</f>
        <v>#NAME?</v>
      </c>
      <c r="DL27" s="220" t="e">
        <f t="array" aca="1" ref="DL27" ca="1">SUM(IF($E$18:$E$22=$A$27,IF($F$23:$JG$23=$DL$24,$F$18:$JG$22)))</f>
        <v>#NAME?</v>
      </c>
      <c r="DM27" s="220" t="e">
        <f t="array" aca="1" ref="DM27" ca="1">SUM(IF($E$18:$E$22=$A$27,IF($F$23:$JG$23=$DM$24,$F$18:$JG$22)))</f>
        <v>#NAME?</v>
      </c>
      <c r="DN27" s="220" t="e">
        <f t="array" aca="1" ref="DN27" ca="1">SUM(IF($E$18:$E$22=$A$27,IF($F$23:$JG$23=$DN$24,$F$18:$JG$22)))</f>
        <v>#NAME?</v>
      </c>
      <c r="DO27" s="220" t="e">
        <f t="array" aca="1" ref="DO27" ca="1">SUM(IF($E$18:$E$22=$A$27,IF($F$23:$JG$23=$DO$24,$F$18:$JG$22)))</f>
        <v>#NAME?</v>
      </c>
      <c r="DP27" s="220" t="e">
        <f t="array" aca="1" ref="DP27" ca="1">SUM(IF($E$18:$E$22=$A$27,IF($F$23:$JG$23=$DP$24,$F$18:$JG$22)))</f>
        <v>#NAME?</v>
      </c>
      <c r="DQ27" s="220" t="e">
        <f t="array" aca="1" ref="DQ27" ca="1">SUM(IF($E$18:$E$22=$A$27,IF($F$23:$JG$23=$DQ$24,$F$18:$JG$22)))</f>
        <v>#NAME?</v>
      </c>
      <c r="DR27" s="220" t="e">
        <f t="array" aca="1" ref="DR27" ca="1">SUM(IF($E$18:$E$22=$A$27,IF($F$23:$JG$23=$DR$24,$F$18:$JG$22)))</f>
        <v>#NAME?</v>
      </c>
      <c r="DS27" s="220" t="e">
        <f t="array" aca="1" ref="DS27" ca="1">SUM(IF($E$18:$E$22=$A$27,IF($F$23:$JG$23=$DS$24,$F$18:$JG$22)))</f>
        <v>#NAME?</v>
      </c>
      <c r="DT27" s="220" t="e">
        <f t="array" aca="1" ref="DT27" ca="1">SUM(IF($E$18:$E$22=$A$27,IF($F$23:$JG$23=$DT$24,$F$18:$JG$22)))</f>
        <v>#NAME?</v>
      </c>
      <c r="DU27" s="220" t="e">
        <f t="array" aca="1" ref="DU27" ca="1">SUM(IF($E$18:$E$22=$A$27,IF($F$23:$JG$23=$DU$24,$F$18:$JG$22)))</f>
        <v>#NAME?</v>
      </c>
      <c r="DV27" s="220" t="e">
        <f t="array" aca="1" ref="DV27" ca="1">SUM(IF($E$18:$E$22=$A$27,IF($F$23:$JG$23=$DV$24,$F$18:$JG$22)))</f>
        <v>#NAME?</v>
      </c>
      <c r="DW27" s="220" t="e">
        <f t="array" aca="1" ref="DW27" ca="1">SUM(IF($E$18:$E$22=$A$27,IF($F$23:$JG$23=$DW$24,$F$18:$JG$22)))</f>
        <v>#NAME?</v>
      </c>
      <c r="DX27" s="220" t="e">
        <f t="array" aca="1" ref="DX27" ca="1">SUM(IF($E$18:$E$22=$A$27,IF($F$23:$JG$23=$DX$24,$F$18:$JG$22)))</f>
        <v>#NAME?</v>
      </c>
      <c r="DY27" s="220" t="e">
        <f t="array" aca="1" ref="DY27" ca="1">SUM(IF($E$18:$E$22=$A$27,IF($F$23:$JG$23=$DY$24,$F$18:$JG$22)))</f>
        <v>#NAME?</v>
      </c>
      <c r="DZ27" s="220" t="e">
        <f t="array" aca="1" ref="DZ27" ca="1">SUM(IF($E$18:$E$22=$A$27,IF($F$23:$JG$23=$DZ$24,$F$18:$JG$22)))</f>
        <v>#NAME?</v>
      </c>
      <c r="EA27" s="220" t="e">
        <f t="array" aca="1" ref="EA27" ca="1">SUM(IF($E$18:$E$22=$A$27,IF($F$23:$JG$23=$EA$24,$F$18:$JG$22)))</f>
        <v>#NAME?</v>
      </c>
      <c r="EB27" s="220" t="e">
        <f t="array" aca="1" ref="EB27" ca="1">SUM(IF($E$18:$E$22=$A$27,IF($F$23:$JG$23=$EB$24,$F$18:$JG$22)))</f>
        <v>#DIV/0!</v>
      </c>
      <c r="EC27" s="220"/>
      <c r="ED27" s="220"/>
      <c r="EE27" s="220"/>
      <c r="EF27" s="220"/>
      <c r="EG27" s="220"/>
      <c r="EH27" s="220"/>
      <c r="EI27" s="220"/>
      <c r="EJ27" s="220"/>
      <c r="EK27" s="220"/>
      <c r="EL27" s="220"/>
      <c r="EM27" s="220"/>
      <c r="EN27" s="220"/>
      <c r="EO27" s="220"/>
      <c r="EP27" s="220"/>
      <c r="EQ27" s="220"/>
      <c r="ER27" s="220"/>
      <c r="ES27" s="220"/>
      <c r="ET27" s="220"/>
      <c r="EU27" s="220"/>
      <c r="EV27" s="220"/>
      <c r="EW27" s="220"/>
      <c r="EX27" s="220"/>
      <c r="EY27" s="220"/>
      <c r="EZ27" s="220"/>
      <c r="FA27" s="220"/>
      <c r="FB27" s="220"/>
      <c r="FC27" s="220"/>
      <c r="FD27" s="220"/>
      <c r="FE27" s="220"/>
      <c r="FF27" s="220"/>
      <c r="FG27" s="220"/>
      <c r="FH27" s="220"/>
      <c r="FI27" s="220"/>
      <c r="FJ27" s="220"/>
      <c r="FK27" s="220"/>
      <c r="FL27" s="220"/>
      <c r="FM27" s="220"/>
      <c r="FN27" s="220"/>
      <c r="FO27" s="220"/>
      <c r="FP27" s="220"/>
      <c r="FQ27" s="220"/>
      <c r="FR27" s="220"/>
      <c r="FS27" s="220"/>
      <c r="FT27" s="220"/>
      <c r="FU27" s="220"/>
      <c r="FV27" s="220"/>
      <c r="FW27" s="220"/>
      <c r="FX27" s="220"/>
      <c r="FY27" s="220"/>
      <c r="FZ27" s="220"/>
      <c r="GA27" s="220"/>
      <c r="GB27" s="220"/>
      <c r="GC27" s="220"/>
      <c r="GD27" s="220"/>
      <c r="GE27" s="220"/>
      <c r="GF27" s="220"/>
      <c r="GG27" s="220"/>
      <c r="GH27" s="220"/>
      <c r="GI27" s="220"/>
      <c r="GJ27" s="220"/>
      <c r="GK27" s="220"/>
      <c r="GL27" s="220"/>
      <c r="GM27" s="220"/>
      <c r="GN27" s="220"/>
      <c r="GO27" s="220"/>
      <c r="GP27" s="220"/>
      <c r="GQ27" s="220"/>
      <c r="GR27" s="220"/>
      <c r="GS27" s="220"/>
      <c r="GT27" s="220"/>
      <c r="GU27" s="220"/>
      <c r="GV27" s="220"/>
      <c r="GW27" s="220"/>
      <c r="GX27" s="220"/>
      <c r="GY27" s="220"/>
      <c r="GZ27" s="220"/>
      <c r="HA27" s="220"/>
      <c r="HB27" s="220"/>
      <c r="HC27" s="220"/>
      <c r="HD27" s="220"/>
      <c r="HE27" s="220"/>
      <c r="HF27" s="220"/>
      <c r="HG27" s="220"/>
      <c r="HH27" s="220"/>
      <c r="HI27" s="220"/>
      <c r="HJ27" s="220"/>
      <c r="HK27" s="220"/>
      <c r="HL27" s="220"/>
      <c r="HM27" s="220"/>
      <c r="HN27" s="220"/>
      <c r="HO27" s="220"/>
      <c r="HP27" s="220"/>
      <c r="HQ27" s="220"/>
      <c r="HR27" s="220"/>
      <c r="HS27" s="220"/>
      <c r="HT27" s="220"/>
      <c r="HU27" s="220"/>
      <c r="HV27" s="220"/>
      <c r="HW27" s="220"/>
      <c r="HX27" s="220"/>
      <c r="HY27" s="220"/>
      <c r="HZ27" s="220"/>
      <c r="IA27" s="220"/>
      <c r="IB27" s="220"/>
      <c r="IC27" s="220"/>
      <c r="ID27" s="220"/>
      <c r="IE27" s="220"/>
      <c r="IF27" s="220"/>
      <c r="IG27" s="220"/>
      <c r="IH27" s="220"/>
      <c r="II27" s="220"/>
      <c r="IJ27" s="220"/>
      <c r="IK27" s="220"/>
      <c r="IL27" s="220"/>
      <c r="IM27" s="220"/>
      <c r="IN27" s="220"/>
      <c r="IO27" s="220"/>
      <c r="IP27" s="220"/>
      <c r="IQ27" s="220"/>
      <c r="IR27" s="220"/>
      <c r="IS27" s="220"/>
      <c r="IT27" s="220"/>
      <c r="IU27" s="220"/>
      <c r="IV27" s="220"/>
      <c r="IW27" s="220"/>
      <c r="IX27" s="220"/>
      <c r="IY27" s="220"/>
      <c r="IZ27" s="220"/>
      <c r="JA27" s="220"/>
      <c r="JB27" s="220"/>
      <c r="JC27" s="220"/>
      <c r="JD27" s="220"/>
      <c r="JE27" s="220"/>
      <c r="JF27" s="220"/>
      <c r="JG27" s="220"/>
    </row>
    <row r="29" spans="1:267">
      <c r="A29" s="336" t="s">
        <v>606</v>
      </c>
      <c r="B29" s="336" t="s">
        <v>609</v>
      </c>
      <c r="C29" s="336"/>
      <c r="D29" s="336"/>
      <c r="E29" s="336" t="s">
        <v>607</v>
      </c>
      <c r="F29" s="336"/>
      <c r="G29" s="336"/>
      <c r="H29" s="336" t="s">
        <v>608</v>
      </c>
      <c r="I29" s="336"/>
      <c r="J29" s="336"/>
    </row>
    <row r="30" spans="1:267">
      <c r="A30" s="336"/>
      <c r="B30" s="242" t="s">
        <v>592</v>
      </c>
      <c r="C30" s="242" t="s">
        <v>585</v>
      </c>
      <c r="D30" s="242" t="s">
        <v>565</v>
      </c>
      <c r="E30" s="242" t="s">
        <v>592</v>
      </c>
      <c r="F30" s="242" t="s">
        <v>585</v>
      </c>
      <c r="G30" s="242" t="s">
        <v>565</v>
      </c>
      <c r="H30" s="242" t="s">
        <v>592</v>
      </c>
      <c r="I30" s="242" t="s">
        <v>585</v>
      </c>
      <c r="J30" s="242" t="s">
        <v>565</v>
      </c>
    </row>
    <row r="31" spans="1:267">
      <c r="A31" s="242">
        <v>2019</v>
      </c>
      <c r="B31" s="221">
        <f ca="1">$B$15</f>
        <v>0</v>
      </c>
      <c r="C31" s="221">
        <f ca="1">$B$16</f>
        <v>0</v>
      </c>
      <c r="D31" s="221">
        <f ca="1">$B$17</f>
        <v>0</v>
      </c>
      <c r="E31" s="221">
        <f ca="1">$B$25</f>
        <v>0</v>
      </c>
      <c r="F31" s="221" t="e">
        <f ca="1">$B$26</f>
        <v>#NAME?</v>
      </c>
      <c r="G31" s="221" t="e">
        <f ca="1">$B$27</f>
        <v>#NAME?</v>
      </c>
      <c r="H31" s="221">
        <f ca="1">$B$31-$E$31</f>
        <v>0</v>
      </c>
      <c r="I31" s="221" t="e">
        <f ca="1">$C$31-$F$31</f>
        <v>#NAME?</v>
      </c>
      <c r="J31" s="221" t="e">
        <f ca="1">$D$31-$G$31</f>
        <v>#NAME?</v>
      </c>
    </row>
    <row r="32" spans="1:267">
      <c r="A32" s="242">
        <v>2020</v>
      </c>
      <c r="B32" s="221">
        <f ca="1">$C$15</f>
        <v>0</v>
      </c>
      <c r="C32" s="221" t="e">
        <f ca="1">$C$16</f>
        <v>#N/A</v>
      </c>
      <c r="D32" s="221" t="e">
        <f ca="1">$C$17</f>
        <v>#N/A</v>
      </c>
      <c r="E32" s="221">
        <f ca="1">$C$25</f>
        <v>0</v>
      </c>
      <c r="F32" s="221" t="e">
        <f ca="1">$C$26</f>
        <v>#NAME?</v>
      </c>
      <c r="G32" s="221" t="e">
        <f ca="1">$C$27</f>
        <v>#NAME?</v>
      </c>
      <c r="H32" s="221">
        <f ca="1">$B$32-$E$32</f>
        <v>0</v>
      </c>
      <c r="I32" s="221" t="e">
        <f ca="1">$C$32-$F$32</f>
        <v>#N/A</v>
      </c>
      <c r="J32" s="221" t="e">
        <f ca="1">$D$32-$G$32</f>
        <v>#N/A</v>
      </c>
    </row>
    <row r="33" spans="1:10">
      <c r="A33" s="242">
        <v>2021</v>
      </c>
      <c r="B33" s="221">
        <f ca="1">$D$15</f>
        <v>0</v>
      </c>
      <c r="C33" s="221" t="e">
        <f ca="1">$D$16</f>
        <v>#N/A</v>
      </c>
      <c r="D33" s="221" t="e">
        <f ca="1">$D$17</f>
        <v>#N/A</v>
      </c>
      <c r="E33" s="221">
        <f ca="1">$D$25</f>
        <v>0</v>
      </c>
      <c r="F33" s="221" t="e">
        <f ca="1">$D$26</f>
        <v>#NAME?</v>
      </c>
      <c r="G33" s="221" t="e">
        <f ca="1">$D$27</f>
        <v>#NAME?</v>
      </c>
      <c r="H33" s="221">
        <f ca="1">$B$33-$E$33</f>
        <v>0</v>
      </c>
      <c r="I33" s="221" t="e">
        <f ca="1">$C$33-$F$33</f>
        <v>#N/A</v>
      </c>
      <c r="J33" s="221" t="e">
        <f ca="1">$D$33-$G$33</f>
        <v>#N/A</v>
      </c>
    </row>
    <row r="34" spans="1:10">
      <c r="A34" s="242">
        <v>2022</v>
      </c>
      <c r="B34" s="221">
        <f ca="1">$E$15</f>
        <v>0</v>
      </c>
      <c r="C34" s="221" t="e">
        <f ca="1">$E$16</f>
        <v>#N/A</v>
      </c>
      <c r="D34" s="221" t="e">
        <f ca="1">$E$17</f>
        <v>#N/A</v>
      </c>
      <c r="E34" s="221">
        <f ca="1">$E$25</f>
        <v>0</v>
      </c>
      <c r="F34" s="221" t="e">
        <f ca="1">$E$26</f>
        <v>#NAME?</v>
      </c>
      <c r="G34" s="221" t="e">
        <f ca="1">$E$27</f>
        <v>#NAME?</v>
      </c>
      <c r="H34" s="221">
        <f ca="1">$B$34-$E$34</f>
        <v>0</v>
      </c>
      <c r="I34" s="221" t="e">
        <f ca="1">$C$34-$F$34</f>
        <v>#N/A</v>
      </c>
      <c r="J34" s="221" t="e">
        <f ca="1">$D$34-$G$34</f>
        <v>#N/A</v>
      </c>
    </row>
    <row r="35" spans="1:10">
      <c r="A35" s="242">
        <v>2023</v>
      </c>
      <c r="B35" s="221">
        <f ca="1">$F$15</f>
        <v>0</v>
      </c>
      <c r="C35" s="221" t="e">
        <f ca="1">$F$16</f>
        <v>#N/A</v>
      </c>
      <c r="D35" s="221" t="e">
        <f ca="1">$F$17</f>
        <v>#N/A</v>
      </c>
      <c r="E35" s="221">
        <f ca="1">$F$25</f>
        <v>0</v>
      </c>
      <c r="F35" s="221" t="e">
        <f ca="1">$F$26</f>
        <v>#NAME?</v>
      </c>
      <c r="G35" s="221" t="e">
        <f ca="1">$F$27</f>
        <v>#NAME?</v>
      </c>
      <c r="H35" s="221">
        <f ca="1">$B$35-$E$35</f>
        <v>0</v>
      </c>
      <c r="I35" s="221" t="e">
        <f ca="1">$C$35-$F$35</f>
        <v>#N/A</v>
      </c>
      <c r="J35" s="221" t="e">
        <f ca="1">$D$35-$G$35</f>
        <v>#N/A</v>
      </c>
    </row>
    <row r="36" spans="1:10">
      <c r="A36" s="242">
        <v>2024</v>
      </c>
      <c r="B36" s="221">
        <f ca="1">$G$15</f>
        <v>0</v>
      </c>
      <c r="C36" s="221" t="e">
        <f ca="1">$G$16</f>
        <v>#N/A</v>
      </c>
      <c r="D36" s="221" t="e">
        <f ca="1">$G$17</f>
        <v>#N/A</v>
      </c>
      <c r="E36" s="221">
        <f ca="1">$G$25</f>
        <v>0</v>
      </c>
      <c r="F36" s="221" t="e">
        <f ca="1">$G$26</f>
        <v>#NAME?</v>
      </c>
      <c r="G36" s="221" t="e">
        <f ca="1">$G$27</f>
        <v>#NAME?</v>
      </c>
      <c r="H36" s="221">
        <f ca="1">$B$36-$E$36</f>
        <v>0</v>
      </c>
      <c r="I36" s="221" t="e">
        <f ca="1">$C$36-$F$36</f>
        <v>#N/A</v>
      </c>
      <c r="J36" s="221" t="e">
        <f ca="1">$D$36-$G$36</f>
        <v>#N/A</v>
      </c>
    </row>
    <row r="37" spans="1:10">
      <c r="A37" s="242">
        <v>2025</v>
      </c>
      <c r="B37" s="221">
        <f ca="1">$H$15</f>
        <v>0</v>
      </c>
      <c r="C37" s="221" t="e">
        <f ca="1">$H$16</f>
        <v>#N/A</v>
      </c>
      <c r="D37" s="221" t="e">
        <f ca="1">$H$17</f>
        <v>#N/A</v>
      </c>
      <c r="E37" s="221">
        <f ca="1">$H$25</f>
        <v>0</v>
      </c>
      <c r="F37" s="221" t="e">
        <f ca="1">$H$26</f>
        <v>#NAME?</v>
      </c>
      <c r="G37" s="221" t="e">
        <f ca="1">$H$27</f>
        <v>#NAME?</v>
      </c>
      <c r="H37" s="221">
        <f ca="1">$B$37-$E$37</f>
        <v>0</v>
      </c>
      <c r="I37" s="221" t="e">
        <f ca="1">$C$37-$F$37</f>
        <v>#N/A</v>
      </c>
      <c r="J37" s="221" t="e">
        <f ca="1">$D$37-$G$37</f>
        <v>#N/A</v>
      </c>
    </row>
    <row r="38" spans="1:10">
      <c r="A38" s="242">
        <v>2026</v>
      </c>
      <c r="B38" s="221" t="e">
        <f ca="1">$I$15</f>
        <v>#N/A</v>
      </c>
      <c r="C38" s="221" t="e">
        <f ca="1">$I$16</f>
        <v>#N/A</v>
      </c>
      <c r="D38" s="221" t="e">
        <f ca="1">$I$17</f>
        <v>#N/A</v>
      </c>
      <c r="E38" s="221">
        <f ca="1">$I$25</f>
        <v>0</v>
      </c>
      <c r="F38" s="221" t="e">
        <f ca="1">$I$26</f>
        <v>#NAME?</v>
      </c>
      <c r="G38" s="221" t="e">
        <f ca="1">$I$27</f>
        <v>#NAME?</v>
      </c>
      <c r="H38" s="221" t="e">
        <f ca="1">$B$38-$E$38</f>
        <v>#N/A</v>
      </c>
      <c r="I38" s="221" t="e">
        <f ca="1">$C$38-$F$38</f>
        <v>#N/A</v>
      </c>
      <c r="J38" s="221" t="e">
        <f ca="1">$D$38-$G$38</f>
        <v>#N/A</v>
      </c>
    </row>
    <row r="39" spans="1:10">
      <c r="A39" s="242">
        <v>2027</v>
      </c>
      <c r="B39" s="221">
        <f ca="1">$J$15</f>
        <v>0</v>
      </c>
      <c r="C39" s="221" t="e">
        <f ca="1">$J$16</f>
        <v>#N/A</v>
      </c>
      <c r="D39" s="221" t="e">
        <f ca="1">$J$17</f>
        <v>#N/A</v>
      </c>
      <c r="E39" s="221">
        <f ca="1">$J$25</f>
        <v>0</v>
      </c>
      <c r="F39" s="221" t="e">
        <f ca="1">$J$26</f>
        <v>#NAME?</v>
      </c>
      <c r="G39" s="221" t="e">
        <f ca="1">$J$27</f>
        <v>#NAME?</v>
      </c>
      <c r="H39" s="221">
        <f ca="1">$B$39-$E$39</f>
        <v>0</v>
      </c>
      <c r="I39" s="221" t="e">
        <f ca="1">$C$39-$F$39</f>
        <v>#N/A</v>
      </c>
      <c r="J39" s="221" t="e">
        <f ca="1">$D$39-$G$39</f>
        <v>#N/A</v>
      </c>
    </row>
    <row r="40" spans="1:10">
      <c r="A40" s="242">
        <v>2028</v>
      </c>
      <c r="B40" s="221" t="e">
        <f ca="1">$K$15</f>
        <v>#N/A</v>
      </c>
      <c r="C40" s="221" t="e">
        <f ca="1">$K$16</f>
        <v>#N/A</v>
      </c>
      <c r="D40" s="221" t="e">
        <f ca="1">$K$17</f>
        <v>#N/A</v>
      </c>
      <c r="E40" s="221">
        <f ca="1">$K$25</f>
        <v>0</v>
      </c>
      <c r="F40" s="221" t="e">
        <f ca="1">$K$26</f>
        <v>#NAME?</v>
      </c>
      <c r="G40" s="221" t="e">
        <f ca="1">$K$27</f>
        <v>#NAME?</v>
      </c>
      <c r="H40" s="221" t="e">
        <f ca="1">$B$40-$E$40</f>
        <v>#N/A</v>
      </c>
      <c r="I40" s="221" t="e">
        <f ca="1">$C$40-$F$40</f>
        <v>#N/A</v>
      </c>
      <c r="J40" s="221" t="e">
        <f ca="1">$D$40-$G$40</f>
        <v>#N/A</v>
      </c>
    </row>
    <row r="41" spans="1:10">
      <c r="A41" s="242">
        <v>2029</v>
      </c>
      <c r="B41" s="221">
        <f ca="1">$L$15</f>
        <v>0</v>
      </c>
      <c r="C41" s="221" t="e">
        <f ca="1">$L$16</f>
        <v>#N/A</v>
      </c>
      <c r="D41" s="221" t="e">
        <f ca="1">$L$17</f>
        <v>#N/A</v>
      </c>
      <c r="E41" s="221">
        <f ca="1">$L$25</f>
        <v>0</v>
      </c>
      <c r="F41" s="221" t="e">
        <f ca="1">$L$26</f>
        <v>#NAME?</v>
      </c>
      <c r="G41" s="221" t="e">
        <f ca="1">$L$27</f>
        <v>#NAME?</v>
      </c>
      <c r="H41" s="221">
        <f ca="1">$B$41-$E$41</f>
        <v>0</v>
      </c>
      <c r="I41" s="221" t="e">
        <f ca="1">$C$41-$F$41</f>
        <v>#N/A</v>
      </c>
      <c r="J41" s="221" t="e">
        <f ca="1">$D$41-$G$41</f>
        <v>#N/A</v>
      </c>
    </row>
    <row r="42" spans="1:10">
      <c r="A42" s="242">
        <v>2030</v>
      </c>
      <c r="B42" s="221">
        <f ca="1">$M$15</f>
        <v>0</v>
      </c>
      <c r="C42" s="221" t="e">
        <f ca="1">$M$16</f>
        <v>#N/A</v>
      </c>
      <c r="D42" s="221" t="e">
        <f ca="1">$M$17</f>
        <v>#N/A</v>
      </c>
      <c r="E42" s="221">
        <f ca="1">$M$25</f>
        <v>0</v>
      </c>
      <c r="F42" s="221" t="e">
        <f ca="1">$M$26</f>
        <v>#NAME?</v>
      </c>
      <c r="G42" s="221" t="e">
        <f ca="1">$M$27</f>
        <v>#NAME?</v>
      </c>
      <c r="H42" s="221">
        <f ca="1">$B$42-$E$42</f>
        <v>0</v>
      </c>
      <c r="I42" s="221" t="e">
        <f ca="1">$C$42-$F$42</f>
        <v>#N/A</v>
      </c>
      <c r="J42" s="221" t="e">
        <f ca="1">$D$42-$G$42</f>
        <v>#N/A</v>
      </c>
    </row>
    <row r="43" spans="1:10">
      <c r="A43" s="242">
        <v>2031</v>
      </c>
      <c r="B43" s="221">
        <f ca="1">$N$15</f>
        <v>0</v>
      </c>
      <c r="C43" s="221" t="e">
        <f ca="1">$N$16</f>
        <v>#N/A</v>
      </c>
      <c r="D43" s="221" t="e">
        <f ca="1">$N$17</f>
        <v>#N/A</v>
      </c>
      <c r="E43" s="221">
        <f ca="1">$N$25</f>
        <v>0</v>
      </c>
      <c r="F43" s="221" t="e">
        <f ca="1">$N$26</f>
        <v>#NAME?</v>
      </c>
      <c r="G43" s="221" t="e">
        <f ca="1">$N$27</f>
        <v>#NAME?</v>
      </c>
      <c r="H43" s="221">
        <f ca="1">$B$43-$E$43</f>
        <v>0</v>
      </c>
      <c r="I43" s="221" t="e">
        <f ca="1">$C$43-$F$43</f>
        <v>#N/A</v>
      </c>
      <c r="J43" s="221" t="e">
        <f ca="1">$D$43-$G$43</f>
        <v>#N/A</v>
      </c>
    </row>
    <row r="44" spans="1:10">
      <c r="A44" s="242">
        <v>2032</v>
      </c>
      <c r="B44" s="221">
        <f ca="1">$O$15</f>
        <v>0</v>
      </c>
      <c r="C44" s="221" t="e">
        <f ca="1">$O$16</f>
        <v>#N/A</v>
      </c>
      <c r="D44" s="221" t="e">
        <f ca="1">$O$17</f>
        <v>#N/A</v>
      </c>
      <c r="E44" s="221">
        <f ca="1">$O$25</f>
        <v>0</v>
      </c>
      <c r="F44" s="221" t="e">
        <f ca="1">$O$26</f>
        <v>#NAME?</v>
      </c>
      <c r="G44" s="221" t="e">
        <f ca="1">$O$27</f>
        <v>#NAME?</v>
      </c>
      <c r="H44" s="221">
        <f ca="1">$B$44-$E$44</f>
        <v>0</v>
      </c>
      <c r="I44" s="221" t="e">
        <f ca="1">$C$44-$F$44</f>
        <v>#N/A</v>
      </c>
      <c r="J44" s="221" t="e">
        <f ca="1">$D$44-$G$44</f>
        <v>#N/A</v>
      </c>
    </row>
    <row r="45" spans="1:10">
      <c r="A45" s="242">
        <v>2033</v>
      </c>
      <c r="B45" s="221">
        <f ca="1">$P$15</f>
        <v>0</v>
      </c>
      <c r="C45" s="221" t="e">
        <f ca="1">$P$16</f>
        <v>#N/A</v>
      </c>
      <c r="D45" s="221" t="e">
        <f ca="1">$P$17</f>
        <v>#N/A</v>
      </c>
      <c r="E45" s="221">
        <f ca="1">$P$25</f>
        <v>0</v>
      </c>
      <c r="F45" s="221" t="e">
        <f ca="1">$P$26</f>
        <v>#NAME?</v>
      </c>
      <c r="G45" s="221" t="e">
        <f ca="1">$P$27</f>
        <v>#NAME?</v>
      </c>
      <c r="H45" s="221">
        <f ca="1">$B$45-$E$45</f>
        <v>0</v>
      </c>
      <c r="I45" s="221" t="e">
        <f ca="1">$C$45-$F$45</f>
        <v>#N/A</v>
      </c>
      <c r="J45" s="221" t="e">
        <f ca="1">$D$45-$G$45</f>
        <v>#N/A</v>
      </c>
    </row>
    <row r="46" spans="1:10">
      <c r="A46" s="242" t="s">
        <v>610</v>
      </c>
      <c r="B46" s="221" t="e">
        <f ca="1">SUM($B$31:$B$45)</f>
        <v>#N/A</v>
      </c>
      <c r="C46" s="221" t="e">
        <f ca="1">SUM($C$31:$C$45)</f>
        <v>#N/A</v>
      </c>
      <c r="D46" s="221" t="e">
        <f ca="1">SUM($D$31:$D$45)</f>
        <v>#N/A</v>
      </c>
      <c r="E46" s="221">
        <f ca="1">SUM($E$31:$E$45)</f>
        <v>0</v>
      </c>
      <c r="F46" s="221" t="e">
        <f ca="1">SUM($F$31:$F$45)</f>
        <v>#NAME?</v>
      </c>
      <c r="G46" s="221" t="e">
        <f ca="1">SUM($G$31:$G$45)</f>
        <v>#NAME?</v>
      </c>
      <c r="H46" s="221" t="e">
        <f ca="1">SUM($H$31:$H$45)</f>
        <v>#N/A</v>
      </c>
      <c r="I46" s="221" t="e">
        <f ca="1">SUM($I$31:$I$45)</f>
        <v>#NAME?</v>
      </c>
      <c r="J46" s="221" t="e">
        <f ca="1">SUM($J$31:$J$45)</f>
        <v>#NAME?</v>
      </c>
    </row>
    <row r="47" spans="1:10">
      <c r="A47" s="242"/>
      <c r="B47" s="242"/>
      <c r="C47" s="242"/>
      <c r="D47" s="242"/>
      <c r="E47" s="242"/>
      <c r="F47" s="242"/>
      <c r="G47" s="242"/>
      <c r="H47" s="242"/>
      <c r="I47" s="242"/>
      <c r="J47" s="242"/>
    </row>
    <row r="48" spans="1:10">
      <c r="A48" t="s">
        <v>587</v>
      </c>
      <c r="B48">
        <v>12</v>
      </c>
    </row>
    <row r="49" spans="1:2">
      <c r="A49" t="s">
        <v>588</v>
      </c>
      <c r="B49">
        <v>13</v>
      </c>
    </row>
    <row r="50" spans="1:2">
      <c r="A50" t="s">
        <v>589</v>
      </c>
      <c r="B50">
        <v>10</v>
      </c>
    </row>
    <row r="51" spans="1:2">
      <c r="A51" t="s">
        <v>590</v>
      </c>
      <c r="B51">
        <v>17</v>
      </c>
    </row>
    <row r="52" spans="1:2">
      <c r="A52" t="s">
        <v>599</v>
      </c>
      <c r="B52">
        <v>46</v>
      </c>
    </row>
    <row r="53" spans="1:2">
      <c r="A53" t="s">
        <v>597</v>
      </c>
      <c r="B53" t="s">
        <v>613</v>
      </c>
    </row>
    <row r="54" spans="1:2">
      <c r="A54" t="s">
        <v>598</v>
      </c>
      <c r="B54" t="s">
        <v>614</v>
      </c>
    </row>
    <row r="55" spans="1:2">
      <c r="A55" t="s">
        <v>600</v>
      </c>
      <c r="B55" t="s">
        <v>614</v>
      </c>
    </row>
    <row r="56" spans="1:2">
      <c r="A56" t="s">
        <v>591</v>
      </c>
      <c r="B56">
        <v>17</v>
      </c>
    </row>
    <row r="57" spans="1:2">
      <c r="A57" t="s">
        <v>601</v>
      </c>
      <c r="B57">
        <v>22</v>
      </c>
    </row>
    <row r="58" spans="1:2">
      <c r="A58" t="s">
        <v>602</v>
      </c>
      <c r="B58">
        <v>23</v>
      </c>
    </row>
    <row r="59" spans="1:2">
      <c r="A59" t="s">
        <v>603</v>
      </c>
      <c r="B59">
        <v>20</v>
      </c>
    </row>
    <row r="60" spans="1:2">
      <c r="A60" t="s">
        <v>605</v>
      </c>
      <c r="B60">
        <v>27</v>
      </c>
    </row>
    <row r="61" spans="1:2">
      <c r="A61" t="s">
        <v>611</v>
      </c>
      <c r="B61">
        <v>45</v>
      </c>
    </row>
    <row r="62" spans="1:2">
      <c r="A62" t="s">
        <v>612</v>
      </c>
      <c r="B62">
        <v>31</v>
      </c>
    </row>
  </sheetData>
  <mergeCells count="4">
    <mergeCell ref="A29:A30"/>
    <mergeCell ref="B29:D29"/>
    <mergeCell ref="E29:G29"/>
    <mergeCell ref="H29:J29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>
    <tabColor theme="1"/>
  </sheetPr>
  <dimension ref="A1:CA79"/>
  <sheetViews>
    <sheetView zoomScaleNormal="100" workbookViewId="0">
      <selection activeCell="F18" sqref="F18"/>
    </sheetView>
  </sheetViews>
  <sheetFormatPr defaultColWidth="11.4609375" defaultRowHeight="14.6"/>
  <cols>
    <col min="1" max="1" width="19.84375" style="181" bestFit="1" customWidth="1"/>
    <col min="2" max="2" width="10.61328125" style="181" bestFit="1" customWidth="1"/>
    <col min="3" max="3" width="5" style="181" bestFit="1" customWidth="1"/>
    <col min="4" max="4" width="6.3828125" style="181" bestFit="1" customWidth="1"/>
    <col min="5" max="5" width="6.61328125" style="181" bestFit="1" customWidth="1"/>
    <col min="6" max="9" width="12.3828125" style="181" bestFit="1" customWidth="1"/>
    <col min="10" max="11" width="13.3828125" style="181" bestFit="1" customWidth="1"/>
    <col min="12" max="12" width="12.3828125" style="181" bestFit="1" customWidth="1"/>
    <col min="13" max="13" width="13.3828125" style="181" bestFit="1" customWidth="1"/>
    <col min="14" max="14" width="12.3828125" style="181" bestFit="1" customWidth="1"/>
    <col min="15" max="16" width="13.3828125" style="181" bestFit="1" customWidth="1"/>
    <col min="17" max="17" width="12.3828125" style="181" bestFit="1" customWidth="1"/>
    <col min="18" max="19" width="13.3828125" style="181" bestFit="1" customWidth="1"/>
    <col min="20" max="21" width="12.3828125" style="181" bestFit="1" customWidth="1"/>
    <col min="22" max="22" width="13.3828125" style="181" bestFit="1" customWidth="1"/>
    <col min="23" max="23" width="12.3828125" style="181" bestFit="1" customWidth="1"/>
    <col min="24" max="24" width="13.3828125" style="181" bestFit="1" customWidth="1"/>
    <col min="25" max="25" width="12.3828125" style="181" bestFit="1" customWidth="1"/>
    <col min="26" max="27" width="13.3828125" style="181" bestFit="1" customWidth="1"/>
    <col min="28" max="31" width="12.3828125" style="181" bestFit="1" customWidth="1"/>
    <col min="32" max="32" width="13.3828125" style="181" bestFit="1" customWidth="1"/>
    <col min="33" max="33" width="12.3828125" style="181" bestFit="1" customWidth="1"/>
    <col min="34" max="34" width="13.3828125" style="181" bestFit="1" customWidth="1"/>
    <col min="35" max="41" width="10.84375" style="181" bestFit="1" customWidth="1"/>
    <col min="42" max="42" width="12.3828125" style="181" bestFit="1" customWidth="1"/>
    <col min="43" max="43" width="10.84375" style="181" bestFit="1" customWidth="1"/>
    <col min="44" max="44" width="13.3828125" style="181" bestFit="1" customWidth="1"/>
    <col min="45" max="52" width="10.84375" style="181" bestFit="1" customWidth="1"/>
    <col min="53" max="53" width="12.3828125" style="181" bestFit="1" customWidth="1"/>
    <col min="54" max="78" width="10.61328125" style="181" bestFit="1" customWidth="1"/>
    <col min="79" max="80" width="12.3828125" style="181" bestFit="1" customWidth="1"/>
    <col min="81" max="292" width="10.84375" style="181" bestFit="1" customWidth="1"/>
    <col min="293" max="318" width="10.61328125" style="181" bestFit="1" customWidth="1"/>
    <col min="319" max="2018" width="11.4609375" style="181"/>
    <col min="2019" max="2055" width="5" style="181" bestFit="1" customWidth="1"/>
    <col min="2056" max="16384" width="11.4609375" style="181"/>
  </cols>
  <sheetData>
    <row r="1" spans="1:79">
      <c r="A1" s="203" t="s">
        <v>427</v>
      </c>
      <c r="B1" s="213">
        <f>intercambio!$B$4</f>
        <v>43792</v>
      </c>
      <c r="C1" s="203">
        <f>YEAR($B$1)</f>
        <v>2019</v>
      </c>
      <c r="D1" s="203"/>
      <c r="E1" s="203"/>
      <c r="F1" s="203"/>
      <c r="G1" s="203"/>
      <c r="H1" s="203">
        <f>YEAR($H$2)</f>
        <v>2019</v>
      </c>
      <c r="I1" s="203">
        <f>YEAR($I$2)</f>
        <v>2020</v>
      </c>
      <c r="J1" s="203">
        <f>YEAR($J$2)</f>
        <v>2020</v>
      </c>
      <c r="K1" s="203">
        <f>YEAR($K$2)</f>
        <v>2021</v>
      </c>
      <c r="L1" s="203">
        <f>YEAR($L$2)</f>
        <v>2021</v>
      </c>
      <c r="M1" s="203">
        <f>YEAR($M$2)</f>
        <v>2022</v>
      </c>
      <c r="N1" s="203">
        <f>YEAR($N$2)</f>
        <v>2022</v>
      </c>
      <c r="O1" s="203">
        <f>YEAR($O$2)</f>
        <v>2023</v>
      </c>
      <c r="P1" s="203">
        <f>YEAR($P$2)</f>
        <v>2023</v>
      </c>
      <c r="Q1" s="203">
        <f>YEAR($Q$2)</f>
        <v>2024</v>
      </c>
      <c r="R1" s="203">
        <f>YEAR($R$2)</f>
        <v>2024</v>
      </c>
      <c r="S1" s="203">
        <f>YEAR($S$2)</f>
        <v>2025</v>
      </c>
      <c r="T1" s="203">
        <f>YEAR($T$2)</f>
        <v>2025</v>
      </c>
      <c r="U1" s="203">
        <f>YEAR($U$2)</f>
        <v>2026</v>
      </c>
      <c r="V1" s="203">
        <f>YEAR($V$2)</f>
        <v>2026</v>
      </c>
      <c r="W1" s="203">
        <f>YEAR($W$2)</f>
        <v>2027</v>
      </c>
      <c r="X1" s="203">
        <f>YEAR($X$2)</f>
        <v>2027</v>
      </c>
      <c r="Y1" s="203">
        <f>YEAR($Y$2)</f>
        <v>2028</v>
      </c>
      <c r="Z1" s="203">
        <f>YEAR($Z$2)</f>
        <v>2028</v>
      </c>
      <c r="AA1" s="203">
        <f>YEAR($AA$2)</f>
        <v>2029</v>
      </c>
      <c r="AB1" s="203">
        <f>YEAR($AB$2)</f>
        <v>2029</v>
      </c>
      <c r="AC1" s="203">
        <f>YEAR($AC$2)</f>
        <v>2030</v>
      </c>
      <c r="AD1" s="203">
        <f>YEAR($AD$2)</f>
        <v>2030</v>
      </c>
      <c r="AE1" s="203">
        <f>YEAR($AE$2)</f>
        <v>2031</v>
      </c>
      <c r="AF1" s="203">
        <f>YEAR($AF$2)</f>
        <v>2031</v>
      </c>
      <c r="AG1" s="203">
        <f>YEAR($AG$2)</f>
        <v>2032</v>
      </c>
      <c r="AH1" s="203">
        <f>YEAR($AH$2)</f>
        <v>2032</v>
      </c>
      <c r="AI1" s="203">
        <f>YEAR($AI$2)</f>
        <v>2033</v>
      </c>
      <c r="AJ1" s="203">
        <f>YEAR($AJ$2)</f>
        <v>2033</v>
      </c>
      <c r="AK1" s="203">
        <f>YEAR($AK$2)</f>
        <v>2034</v>
      </c>
      <c r="AL1" s="203">
        <f>YEAR($AL$2)</f>
        <v>2034</v>
      </c>
      <c r="AM1" s="203">
        <f>YEAR($AM$2)</f>
        <v>2035</v>
      </c>
      <c r="AN1" s="203">
        <f>YEAR($AN$2)</f>
        <v>2035</v>
      </c>
      <c r="AO1" s="203">
        <f>YEAR($AO$2)</f>
        <v>2036</v>
      </c>
      <c r="AP1" s="203">
        <f>YEAR($AP$2)</f>
        <v>2036</v>
      </c>
      <c r="AQ1" s="203">
        <f>YEAR($AQ$2)</f>
        <v>2037</v>
      </c>
      <c r="AR1" s="203">
        <f>YEAR($AR$2)</f>
        <v>2037</v>
      </c>
      <c r="AS1" s="203">
        <f>YEAR($AS$2)</f>
        <v>2038</v>
      </c>
      <c r="AT1" s="203">
        <f>YEAR($AT$2)</f>
        <v>2038</v>
      </c>
      <c r="AU1" s="203">
        <f>YEAR($AU$2)</f>
        <v>2039</v>
      </c>
      <c r="AV1" s="203">
        <f>YEAR($AV$2)</f>
        <v>2039</v>
      </c>
      <c r="AW1" s="203">
        <f>YEAR($AW$2)</f>
        <v>2040</v>
      </c>
      <c r="AX1" s="203">
        <f>YEAR($AX$2)</f>
        <v>2040</v>
      </c>
      <c r="AY1" s="203">
        <f>YEAR($AY$2)</f>
        <v>2041</v>
      </c>
      <c r="AZ1" s="203">
        <f>YEAR($AZ$2)</f>
        <v>2041</v>
      </c>
      <c r="BA1" s="203">
        <f>YEAR($BA$2)</f>
        <v>2042</v>
      </c>
      <c r="BB1" s="203">
        <f>YEAR($BB$2)</f>
        <v>2042</v>
      </c>
      <c r="BC1" s="203">
        <f>YEAR($BC$2)</f>
        <v>2043</v>
      </c>
      <c r="BD1" s="203">
        <f>YEAR($BD$2)</f>
        <v>2043</v>
      </c>
      <c r="BE1" s="203">
        <f>YEAR($BE$2)</f>
        <v>2044</v>
      </c>
      <c r="BF1" s="203">
        <f>YEAR($BF$2)</f>
        <v>2044</v>
      </c>
      <c r="BG1" s="203">
        <f>YEAR($BG$2)</f>
        <v>2045</v>
      </c>
      <c r="BH1" s="203">
        <f>YEAR($BH$2)</f>
        <v>2045</v>
      </c>
      <c r="BI1" s="203">
        <f>YEAR($BI$2)</f>
        <v>2046</v>
      </c>
      <c r="BJ1" s="203">
        <f>YEAR($BJ$2)</f>
        <v>2046</v>
      </c>
      <c r="BK1" s="203">
        <f>YEAR($BK$2)</f>
        <v>2047</v>
      </c>
      <c r="BL1" s="203">
        <f>YEAR($BL$2)</f>
        <v>2047</v>
      </c>
      <c r="BM1" s="203">
        <f>YEAR($BM$2)</f>
        <v>2048</v>
      </c>
      <c r="BN1" s="203">
        <f>YEAR($BN$2)</f>
        <v>2048</v>
      </c>
      <c r="BO1" s="203">
        <f>YEAR($BO$2)</f>
        <v>2049</v>
      </c>
      <c r="BP1" s="203">
        <f>YEAR($BP$2)</f>
        <v>2049</v>
      </c>
      <c r="BQ1" s="203">
        <f>YEAR($BQ$2)</f>
        <v>2050</v>
      </c>
      <c r="BR1" s="203">
        <f>YEAR($BR$2)</f>
        <v>2050</v>
      </c>
      <c r="BS1" s="203">
        <f>YEAR($BS$2)</f>
        <v>2051</v>
      </c>
      <c r="BT1" s="203">
        <f>YEAR($BT$2)</f>
        <v>2051</v>
      </c>
      <c r="BU1" s="203">
        <f>YEAR($BU$2)</f>
        <v>2052</v>
      </c>
      <c r="BV1" s="203">
        <f>YEAR($BV$2)</f>
        <v>2052</v>
      </c>
      <c r="BW1" s="203">
        <f>YEAR($BW$2)</f>
        <v>2053</v>
      </c>
      <c r="BX1" s="203">
        <f>YEAR($BX$2)</f>
        <v>2053</v>
      </c>
      <c r="BY1" s="203">
        <f>YEAR($BY$2)</f>
        <v>2054</v>
      </c>
      <c r="BZ1" s="203">
        <f>YEAR($BZ$2)</f>
        <v>2054</v>
      </c>
      <c r="CA1" s="203">
        <f>YEAR($CA$2)</f>
        <v>2055</v>
      </c>
    </row>
    <row r="2" spans="1:79">
      <c r="A2" s="203" t="s">
        <v>402</v>
      </c>
      <c r="B2" s="203" t="s">
        <v>152</v>
      </c>
      <c r="C2" s="203" t="s">
        <v>566</v>
      </c>
      <c r="D2" s="203" t="s">
        <v>156</v>
      </c>
      <c r="E2" s="203" t="s">
        <v>108</v>
      </c>
      <c r="F2" s="203" t="s">
        <v>113</v>
      </c>
      <c r="G2" s="203" t="s">
        <v>567</v>
      </c>
      <c r="H2" s="215">
        <v>43689</v>
      </c>
      <c r="I2" s="215">
        <f>EDATE($H$2,6)</f>
        <v>43873</v>
      </c>
      <c r="J2" s="215">
        <f>EDATE($I$2,6)</f>
        <v>44055</v>
      </c>
      <c r="K2" s="215">
        <f>EDATE($J$2,6)</f>
        <v>44239</v>
      </c>
      <c r="L2" s="215">
        <f>EDATE($K$2,6)</f>
        <v>44420</v>
      </c>
      <c r="M2" s="215">
        <f>EDATE($L$2,6)</f>
        <v>44604</v>
      </c>
      <c r="N2" s="215">
        <f>EDATE($M$2,6)</f>
        <v>44785</v>
      </c>
      <c r="O2" s="215">
        <f>EDATE($N$2,6)</f>
        <v>44969</v>
      </c>
      <c r="P2" s="215">
        <f>EDATE($O$2,6)</f>
        <v>45150</v>
      </c>
      <c r="Q2" s="215">
        <f>EDATE($P$2,6)</f>
        <v>45334</v>
      </c>
      <c r="R2" s="215">
        <f>EDATE($Q$2,6)</f>
        <v>45516</v>
      </c>
      <c r="S2" s="215">
        <f>EDATE($R$2,6)</f>
        <v>45700</v>
      </c>
      <c r="T2" s="215">
        <f>EDATE($S$2,6)</f>
        <v>45881</v>
      </c>
      <c r="U2" s="215">
        <f>EDATE($T$2,6)</f>
        <v>46065</v>
      </c>
      <c r="V2" s="215">
        <f>EDATE($U$2,6)</f>
        <v>46246</v>
      </c>
      <c r="W2" s="215">
        <f>EDATE($V$2,6)</f>
        <v>46430</v>
      </c>
      <c r="X2" s="215">
        <f>EDATE($W$2,6)</f>
        <v>46611</v>
      </c>
      <c r="Y2" s="215">
        <f>EDATE($X$2,6)</f>
        <v>46795</v>
      </c>
      <c r="Z2" s="215">
        <f>EDATE($Y$2,6)</f>
        <v>46977</v>
      </c>
      <c r="AA2" s="215">
        <f>EDATE($Z$2,6)</f>
        <v>47161</v>
      </c>
      <c r="AB2" s="215">
        <f>EDATE($AA$2,6)</f>
        <v>47342</v>
      </c>
      <c r="AC2" s="215">
        <f>EDATE($AB$2,6)</f>
        <v>47526</v>
      </c>
      <c r="AD2" s="215">
        <f>EDATE($AC$2,6)</f>
        <v>47707</v>
      </c>
      <c r="AE2" s="215">
        <f>EDATE($AD$2,6)</f>
        <v>47891</v>
      </c>
      <c r="AF2" s="215">
        <f>EDATE($AE$2,6)</f>
        <v>48072</v>
      </c>
      <c r="AG2" s="215">
        <f>EDATE($AF$2,6)</f>
        <v>48256</v>
      </c>
      <c r="AH2" s="215">
        <f>EDATE($AG$2,6)</f>
        <v>48438</v>
      </c>
      <c r="AI2" s="215">
        <f>EDATE($AH$2,6)</f>
        <v>48622</v>
      </c>
      <c r="AJ2" s="215">
        <f>EDATE($AI$2,6)</f>
        <v>48803</v>
      </c>
      <c r="AK2" s="215">
        <f>EDATE($AJ$2,6)</f>
        <v>48987</v>
      </c>
      <c r="AL2" s="215">
        <f>EDATE($AK$2,6)</f>
        <v>49168</v>
      </c>
      <c r="AM2" s="215">
        <f>EDATE($AL$2,6)</f>
        <v>49352</v>
      </c>
      <c r="AN2" s="215">
        <f>EDATE($AM$2,6)</f>
        <v>49533</v>
      </c>
      <c r="AO2" s="215">
        <f>EDATE($AN$2,6)</f>
        <v>49717</v>
      </c>
      <c r="AP2" s="215">
        <f>EDATE($AO$2,6)</f>
        <v>49899</v>
      </c>
      <c r="AQ2" s="215">
        <f>EDATE($AP$2,6)</f>
        <v>50083</v>
      </c>
      <c r="AR2" s="215">
        <f>EDATE($AQ$2,6)</f>
        <v>50264</v>
      </c>
      <c r="AS2" s="215">
        <f>EDATE($AR$2,6)</f>
        <v>50448</v>
      </c>
      <c r="AT2" s="215">
        <f>EDATE($AS$2,6)</f>
        <v>50629</v>
      </c>
      <c r="AU2" s="215">
        <f>EDATE($AT$2,6)</f>
        <v>50813</v>
      </c>
      <c r="AV2" s="215">
        <f>EDATE($AU$2,6)</f>
        <v>50994</v>
      </c>
      <c r="AW2" s="215">
        <f>EDATE($AV$2,6)</f>
        <v>51178</v>
      </c>
      <c r="AX2" s="215">
        <f>EDATE($AW$2,6)</f>
        <v>51360</v>
      </c>
      <c r="AY2" s="215">
        <f>EDATE($AX$2,6)</f>
        <v>51544</v>
      </c>
      <c r="AZ2" s="215">
        <f>EDATE($AY$2,6)</f>
        <v>51725</v>
      </c>
      <c r="BA2" s="215">
        <f>EDATE($AZ$2,6)</f>
        <v>51909</v>
      </c>
      <c r="BB2" s="215">
        <f>EDATE($BA$2,6)</f>
        <v>52090</v>
      </c>
      <c r="BC2" s="215">
        <f>EDATE($BB$2,6)</f>
        <v>52274</v>
      </c>
      <c r="BD2" s="215">
        <f>EDATE($BC$2,6)</f>
        <v>52455</v>
      </c>
      <c r="BE2" s="215">
        <f>EDATE($BD$2,6)</f>
        <v>52639</v>
      </c>
      <c r="BF2" s="215">
        <f>EDATE($BE$2,6)</f>
        <v>52821</v>
      </c>
      <c r="BG2" s="215">
        <f>EDATE($BF$2,6)</f>
        <v>53005</v>
      </c>
      <c r="BH2" s="215">
        <f>EDATE($BG$2,6)</f>
        <v>53186</v>
      </c>
      <c r="BI2" s="215">
        <f>EDATE($BH$2,6)</f>
        <v>53370</v>
      </c>
      <c r="BJ2" s="215">
        <f>EDATE($BI$2,6)</f>
        <v>53551</v>
      </c>
      <c r="BK2" s="215">
        <f>EDATE($BJ$2,6)</f>
        <v>53735</v>
      </c>
      <c r="BL2" s="215">
        <f>EDATE($BK$2,6)</f>
        <v>53916</v>
      </c>
      <c r="BM2" s="215">
        <f>EDATE($BL$2,6)</f>
        <v>54100</v>
      </c>
      <c r="BN2" s="215">
        <f>EDATE($BM$2,6)</f>
        <v>54282</v>
      </c>
      <c r="BO2" s="215">
        <f>EDATE($BN$2,6)</f>
        <v>54466</v>
      </c>
      <c r="BP2" s="215">
        <f>EDATE($BO$2,6)</f>
        <v>54647</v>
      </c>
      <c r="BQ2" s="215">
        <f>EDATE($BP$2,6)</f>
        <v>54831</v>
      </c>
      <c r="BR2" s="215">
        <f>EDATE($BQ$2,6)</f>
        <v>55012</v>
      </c>
      <c r="BS2" s="215">
        <f>EDATE($BR$2,6)</f>
        <v>55196</v>
      </c>
      <c r="BT2" s="215">
        <f>EDATE($BS$2,6)</f>
        <v>55377</v>
      </c>
      <c r="BU2" s="215">
        <f>EDATE($BT$2,6)</f>
        <v>55561</v>
      </c>
      <c r="BV2" s="215">
        <f>EDATE($BU$2,6)</f>
        <v>55743</v>
      </c>
      <c r="BW2" s="215">
        <f>EDATE($BV$2,6)</f>
        <v>55927</v>
      </c>
      <c r="BX2" s="215">
        <f>EDATE($BW$2,6)</f>
        <v>56108</v>
      </c>
      <c r="BY2" s="215">
        <f>EDATE($BX$2,6)</f>
        <v>56292</v>
      </c>
      <c r="BZ2" s="215">
        <f>EDATE($BY$2,6)</f>
        <v>56473</v>
      </c>
      <c r="CA2" s="215">
        <f>EDATE($BZ$2,6)</f>
        <v>56657</v>
      </c>
    </row>
    <row r="3" spans="1:79">
      <c r="A3" s="181" t="s">
        <v>116</v>
      </c>
      <c r="B3" s="214" t="str">
        <f ca="1">OFFSET(bd_bonos!$A$1,MATCH(bs_flujo!$A3,bd_bonos!$A:$A,0)-1,11)</f>
        <v>12/08/2020</v>
      </c>
      <c r="C3" s="181">
        <f ca="1">YEAR(B3)</f>
        <v>2020</v>
      </c>
      <c r="D3" s="181" t="s">
        <v>568</v>
      </c>
      <c r="E3" s="204">
        <f ca="1">OFFSET(bd_bonos!$A$1,MATCH(bs_flujo!$A3,bd_bonos!$A:$A,0)-1,4)</f>
        <v>7.84</v>
      </c>
      <c r="F3" s="181" t="s">
        <v>569</v>
      </c>
      <c r="G3" s="205">
        <f ca="1">OFFSET(bd_bonos!$A$1,MATCH(bs_flujo!$A3,bd_bonos!$A:$A,0)-1,33)/1000</f>
        <v>1573592</v>
      </c>
      <c r="H3" s="205">
        <f t="shared" ref="H3:H14" ca="1" si="0">IF($H$2=DATEVALUE($B3),($E3/2/100)*1000*$G3+$G3*1000,IF($H$2&gt;DATEVALUE($B3),"",(($E3/2/100)*1000)*$G3))</f>
        <v>61684806.399999991</v>
      </c>
      <c r="I3" s="205">
        <f t="shared" ref="I3:I14" ca="1" si="1">IF($I$2=DATEVALUE($B3),($E3/2/100)*1000*$G3+$G3*1000,IF($I$2&gt;DATEVALUE($B3),"",(($E3/2/100)*1000)*$G3))</f>
        <v>61684806.399999991</v>
      </c>
      <c r="J3" s="205">
        <f t="shared" ref="J3:J14" ca="1" si="2">IF($J$2=DATEVALUE($B3),($E3/2/100)*1000*$G3+$G3*1000,IF($J$2&gt;DATEVALUE($B3),"",(($E3/2/100)*1000)*$G3))</f>
        <v>1635276806.4000001</v>
      </c>
      <c r="K3" s="205" t="str">
        <f t="shared" ref="K3:K14" ca="1" si="3">IF($K$2=DATEVALUE($B3),($E3/2/100)*1000*$G3+$G3*1000,IF($K$2&gt;DATEVALUE($B3),"",(($E3/2/100)*1000)*$G3))</f>
        <v/>
      </c>
      <c r="L3" s="205" t="str">
        <f t="shared" ref="L3:L14" ca="1" si="4">IF($L$2=DATEVALUE($B3),($E3/2/100)*1000*$G3+$G3*1000,IF($L$2&gt;DATEVALUE($B3),"",(($E3/2/100)*1000)*$G3))</f>
        <v/>
      </c>
      <c r="M3" s="205" t="str">
        <f t="shared" ref="M3:M14" ca="1" si="5">IF($M$2=DATEVALUE($B3),($E3/2/100)*1000*$G3+$G3*1000,IF($M$2&gt;DATEVALUE($B3),"",(($E3/2/100)*1000)*$G3))</f>
        <v/>
      </c>
      <c r="N3" s="205" t="str">
        <f t="shared" ref="N3:N14" ca="1" si="6">IF($N$2=DATEVALUE($B3),($E3/2/100)*1000*$G3+$G3*1000,IF($N$2&gt;DATEVALUE($B3),"",(($E3/2/100)*1000)*$G3))</f>
        <v/>
      </c>
      <c r="O3" s="205" t="str">
        <f t="shared" ref="O3:O14" ca="1" si="7">IF($O$2=DATEVALUE($B3),($E3/2/100)*1000*$G3+$G3*1000,IF($O$2&gt;DATEVALUE($B3),"",(($E3/2/100)*1000)*$G3))</f>
        <v/>
      </c>
      <c r="P3" s="205" t="str">
        <f ca="1">IF($P$2=DATEVALUE($B3),($E3/2/100)*1000*$G3+$G3*1000,IF($P$2&gt;DATEVALUE($B3),"",(($E3/2/100)*1000)*$G3))</f>
        <v/>
      </c>
      <c r="Q3" s="205" t="str">
        <f t="shared" ref="Q3:Q14" ca="1" si="8">IF($Q$2=DATEVALUE($B3),($E3/2/100)*1000*$G3+$G3*1000,IF($Q$2&gt;DATEVALUE($B3),"",(($E3/2/100)*1000)*$G3))</f>
        <v/>
      </c>
      <c r="R3" s="205" t="str">
        <f t="shared" ref="R3:R14" ca="1" si="9">IF($R$2=DATEVALUE($B3),($E3/2/100)*1000*$G3+$G3*1000,IF($R$2&gt;DATEVALUE($B3),"",(($E3/2/100)*1000)*$G3))</f>
        <v/>
      </c>
      <c r="S3" s="205" t="str">
        <f t="shared" ref="S3:S14" ca="1" si="10">IF($S$2=DATEVALUE($B3),($E3/2/100)*1000*$G3+$G3*1000,IF($S$2&gt;DATEVALUE($B3),"",(($E3/2/100)*1000)*$G3))</f>
        <v/>
      </c>
      <c r="T3" s="205" t="str">
        <f t="shared" ref="T3:T14" ca="1" si="11">IF($T$2=DATEVALUE($B3),($E3/2/100)*1000*$G3+$G3*1000,IF($T$2&gt;DATEVALUE($B3),"",(($E3/2/100)*1000)*$G3))</f>
        <v/>
      </c>
      <c r="U3" s="205" t="str">
        <f t="shared" ref="U3:U14" ca="1" si="12">IF($U$2=DATEVALUE($B3),($E3/2/100)*1000*$G3+$G3*1000,IF($U$2&gt;DATEVALUE($B3),"",(($E3/2/100)*1000)*$G3))</f>
        <v/>
      </c>
      <c r="V3" s="205" t="str">
        <f t="shared" ref="V3:V14" ca="1" si="13">IF($V$2=DATEVALUE($B3),($E3/2/100)*1000*$G3+$G3*1000,IF($V$2&gt;DATEVALUE($B3),"",(($E3/2/100)*1000)*$G3))</f>
        <v/>
      </c>
      <c r="W3" s="205" t="str">
        <f t="shared" ref="W3:W14" ca="1" si="14">IF($W$2=DATEVALUE($B3),($E3/2/100)*1000*$G3+$G3*1000,IF($W$2&gt;DATEVALUE($B3),"",(($E3/2/100)*1000)*$G3))</f>
        <v/>
      </c>
      <c r="X3" s="205" t="str">
        <f t="shared" ref="X3:X14" ca="1" si="15">IF($X$2=DATEVALUE($B3),($E3/2/100)*1000*$G3+$G3*1000,IF($X$2&gt;DATEVALUE($B3),"",(($E3/2/100)*1000)*$G3))</f>
        <v/>
      </c>
      <c r="Y3" s="205" t="str">
        <f t="shared" ref="Y3:Y14" ca="1" si="16">IF($Y$2=DATEVALUE($B3),($E3/2/100)*1000*$G3+$G3*1000,IF($Y$2&gt;DATEVALUE($B3),"",(($E3/2/100)*1000)*$G3))</f>
        <v/>
      </c>
      <c r="Z3" s="205" t="str">
        <f t="shared" ref="Z3:Z14" ca="1" si="17">IF($Z$2=DATEVALUE($B3),($E3/2/100)*1000*$G3+$G3*1000,IF($Z$2&gt;DATEVALUE($B3),"",(($E3/2/100)*1000)*$G3))</f>
        <v/>
      </c>
      <c r="AA3" s="205" t="str">
        <f t="shared" ref="AA3:AA14" ca="1" si="18">IF($AA$2=DATEVALUE($B3),($E3/2/100)*1000*$G3+$G3*1000,IF($AA$2&gt;DATEVALUE($B3),"",(($E3/2/100)*1000)*$G3))</f>
        <v/>
      </c>
      <c r="AB3" s="205" t="str">
        <f t="shared" ref="AB3:AB14" ca="1" si="19">IF($AB$2=DATEVALUE($B3),($E3/2/100)*1000*$G3+$G3*1000,IF($AB$2&gt;DATEVALUE($B3),"",(($E3/2/100)*1000)*$G3))</f>
        <v/>
      </c>
      <c r="AC3" s="205" t="str">
        <f t="shared" ref="AC3:AC14" ca="1" si="20">IF($AC$2=DATEVALUE($B3),($E3/2/100)*1000*$G3+$G3*1000,IF($AC$2&gt;DATEVALUE($B3),"",(($E3/2/100)*1000)*$G3))</f>
        <v/>
      </c>
      <c r="AD3" s="205" t="str">
        <f t="shared" ref="AD3:AD14" ca="1" si="21">IF($AD$2=DATEVALUE($B3),($E3/2/100)*1000*$G3+$G3*1000,IF($AD$2&gt;DATEVALUE($B3),"",(($E3/2/100)*1000)*$G3))</f>
        <v/>
      </c>
      <c r="AE3" s="205" t="str">
        <f t="shared" ref="AE3:AE14" ca="1" si="22">IF($AE$2=DATEVALUE($B3),($E3/2/100)*1000*$G3+$G3*1000,IF($AE$2&gt;DATEVALUE($B3),"",(($E3/2/100)*1000)*$G3))</f>
        <v/>
      </c>
      <c r="AF3" s="205" t="str">
        <f t="shared" ref="AF3:AF14" ca="1" si="23">IF($AF$2=DATEVALUE($B3),($E3/2/100)*1000*$G3+$G3*1000,IF($AF$2&gt;DATEVALUE($B3),"",(($E3/2/100)*1000)*$G3))</f>
        <v/>
      </c>
      <c r="AG3" s="205" t="str">
        <f t="shared" ref="AG3:AG14" ca="1" si="24">IF($AG$2=DATEVALUE($B3),($E3/2/100)*1000*$G3+$G3*1000,IF($AG$2&gt;DATEVALUE($B3),"",(($E3/2/100)*1000)*$G3))</f>
        <v/>
      </c>
      <c r="AH3" s="205" t="str">
        <f t="shared" ref="AH3:AH14" ca="1" si="25">IF($AH$2=DATEVALUE($B3),($E3/2/100)*1000*$G3+$G3*1000,IF($AH$2&gt;DATEVALUE($B3),"",(($E3/2/100)*1000)*$G3))</f>
        <v/>
      </c>
      <c r="AI3" s="205" t="str">
        <f t="shared" ref="AI3:AI14" ca="1" si="26">IF($AI$2=DATEVALUE($B3),($E3/2/100)*1000*$G3+$G3*1000,IF($AI$2&gt;DATEVALUE($B3),"",(($E3/2/100)*1000)*$G3))</f>
        <v/>
      </c>
      <c r="AJ3" s="205" t="str">
        <f t="shared" ref="AJ3:AJ14" ca="1" si="27">IF($AJ$2=DATEVALUE($B3),($E3/2/100)*1000*$G3+$G3*1000,IF($AJ$2&gt;DATEVALUE($B3),"",(($E3/2/100)*1000)*$G3))</f>
        <v/>
      </c>
      <c r="AK3" s="205" t="str">
        <f t="shared" ref="AK3:AK14" ca="1" si="28">IF($AK$2=DATEVALUE($B3),($E3/2/100)*1000*$G3+$G3*1000,IF($AK$2&gt;DATEVALUE($B3),"",(($E3/2/100)*1000)*$G3))</f>
        <v/>
      </c>
      <c r="AL3" s="205" t="str">
        <f t="shared" ref="AL3:AL14" ca="1" si="29">IF($AL$2=DATEVALUE($B3),($E3/2/100)*1000*$G3+$G3*1000,IF($AL$2&gt;DATEVALUE($B3),"",(($E3/2/100)*1000)*$G3))</f>
        <v/>
      </c>
      <c r="AM3" s="205" t="str">
        <f t="shared" ref="AM3:AM14" ca="1" si="30">IF($AM$2=DATEVALUE($B3),($E3/2/100)*1000*$G3+$G3*1000,IF($AM$2&gt;DATEVALUE($B3),"",(($E3/2/100)*1000)*$G3))</f>
        <v/>
      </c>
      <c r="AN3" s="205" t="str">
        <f t="shared" ref="AN3:AN14" ca="1" si="31">IF($AN$2=DATEVALUE($B3),($E3/2/100)*1000*$G3+$G3*1000,IF($AN$2&gt;DATEVALUE($B3),"",(($E3/2/100)*1000)*$G3))</f>
        <v/>
      </c>
      <c r="AO3" s="205" t="str">
        <f t="shared" ref="AO3:AO14" ca="1" si="32">IF($AO$2=DATEVALUE($B3),($E3/2/100)*1000*$G3+$G3*1000,IF($AO$2&gt;DATEVALUE($B3),"",(($E3/2/100)*1000)*$G3))</f>
        <v/>
      </c>
      <c r="AP3" s="205" t="str">
        <f t="shared" ref="AP3:AP14" ca="1" si="33">IF($AP$2=DATEVALUE($B3),($E3/2/100)*1000*$G3+$G3*1000,IF($AP$2&gt;DATEVALUE($B3),"",(($E3/2/100)*1000)*$G3))</f>
        <v/>
      </c>
      <c r="AQ3" s="205" t="str">
        <f t="shared" ref="AQ3:AQ14" ca="1" si="34">IF($AQ$2=DATEVALUE($B3),($E3/2/100)*1000*$G3+$G3*1000,IF($AQ$2&gt;DATEVALUE($B3),"",(($E3/2/100)*1000)*$G3))</f>
        <v/>
      </c>
      <c r="AR3" s="205" t="str">
        <f t="shared" ref="AR3:AR14" ca="1" si="35">IF($AR$2=DATEVALUE($B3),($E3/2/100)*1000*$G3+$G3*1000,IF($AR$2&gt;DATEVALUE($B3),"",(($E3/2/100)*1000)*$G3))</f>
        <v/>
      </c>
      <c r="AS3" s="205" t="str">
        <f t="shared" ref="AS3:AS14" ca="1" si="36">IF($AS$2=DATEVALUE($B3),($E3/2/100)*1000*$G3+$G3*1000,IF($AS$2&gt;DATEVALUE($B3),"",(($E3/2/100)*1000)*$G3))</f>
        <v/>
      </c>
      <c r="AT3" s="205" t="str">
        <f t="shared" ref="AT3:AT14" ca="1" si="37">IF($AT$2=DATEVALUE($B3),($E3/2/100)*1000*$G3+$G3*1000,IF($AT$2&gt;DATEVALUE($B3),"",(($E3/2/100)*1000)*$G3))</f>
        <v/>
      </c>
      <c r="AU3" s="205" t="str">
        <f t="shared" ref="AU3:AU14" ca="1" si="38">IF($AU$2=DATEVALUE($B3),($E3/2/100)*1000*$G3+$G3*1000,IF($AU$2&gt;DATEVALUE($B3),"",(($E3/2/100)*1000)*$G3))</f>
        <v/>
      </c>
      <c r="AV3" s="205" t="str">
        <f t="shared" ref="AV3:AV14" ca="1" si="39">IF($AV$2=DATEVALUE($B3),($E3/2/100)*1000*$G3+$G3*1000,IF($AV$2&gt;DATEVALUE($B3),"",(($E3/2/100)*1000)*$G3))</f>
        <v/>
      </c>
      <c r="AW3" s="205" t="str">
        <f t="shared" ref="AW3:AW14" ca="1" si="40">IF($AW$2=DATEVALUE($B3),($E3/2/100)*1000*$G3+$G3*1000,IF($AW$2&gt;DATEVALUE($B3),"",(($E3/2/100)*1000)*$G3))</f>
        <v/>
      </c>
      <c r="AX3" s="205" t="str">
        <f t="shared" ref="AX3:AX14" ca="1" si="41">IF($AX$2=DATEVALUE($B3),($E3/2/100)*1000*$G3+$G3*1000,IF($AX$2&gt;DATEVALUE($B3),"",(($E3/2/100)*1000)*$G3))</f>
        <v/>
      </c>
      <c r="AY3" s="205" t="str">
        <f t="shared" ref="AY3:AY14" ca="1" si="42">IF($AY$2=DATEVALUE($B3),($E3/2/100)*1000*$G3+$G3*1000,IF($AY$2&gt;DATEVALUE($B3),"",(($E3/2/100)*1000)*$G3))</f>
        <v/>
      </c>
      <c r="AZ3" s="205" t="str">
        <f t="shared" ref="AZ3:AZ14" ca="1" si="43">IF($AZ$2=DATEVALUE($B3),($E3/2/100)*1000*$G3+$G3*1000,IF($AZ$2&gt;DATEVALUE($B3),"",(($E3/2/100)*1000)*$G3))</f>
        <v/>
      </c>
      <c r="BA3" s="205" t="str">
        <f t="shared" ref="BA3:BA14" ca="1" si="44">IF($BA$2=DATEVALUE($B3),($E3/2/100)*1000*$G3+$G3*1000,IF($BA$2&gt;DATEVALUE($B3),"",(($E3/2/100)*1000)*$G3))</f>
        <v/>
      </c>
      <c r="BB3" s="205" t="str">
        <f t="shared" ref="BB3:BB14" ca="1" si="45">IF($BB$2=DATEVALUE($B3),($E3/2/100)*1000*$G3+$G3*1000,IF($BB$2&gt;DATEVALUE($B3),"",(($E3/2/100)*1000)*$G3))</f>
        <v/>
      </c>
      <c r="BC3" s="205" t="str">
        <f t="shared" ref="BC3:BC14" ca="1" si="46">IF($BC$2=DATEVALUE($B3),($E3/2/100)*1000*$G3+$G3*1000,IF($BC$2&gt;DATEVALUE($B3),"",(($E3/2/100)*1000)*$G3))</f>
        <v/>
      </c>
      <c r="BD3" s="205" t="str">
        <f t="shared" ref="BD3:BD14" ca="1" si="47">IF($BD$2=DATEVALUE($B3),($E3/2/100)*1000*$G3+$G3*1000,IF($BD$2&gt;DATEVALUE($B3),"",(($E3/2/100)*1000)*$G3))</f>
        <v/>
      </c>
      <c r="BE3" s="205" t="str">
        <f t="shared" ref="BE3:BE14" ca="1" si="48">IF($BE$2=DATEVALUE($B3),($E3/2/100)*1000*$G3+$G3*1000,IF($BE$2&gt;DATEVALUE($B3),"",(($E3/2/100)*1000)*$G3))</f>
        <v/>
      </c>
      <c r="BF3" s="205" t="str">
        <f t="shared" ref="BF3:BF14" ca="1" si="49">IF($BF$2=DATEVALUE($B3),($E3/2/100)*1000*$G3+$G3*1000,IF($BF$2&gt;DATEVALUE($B3),"",(($E3/2/100)*1000)*$G3))</f>
        <v/>
      </c>
      <c r="BG3" s="205" t="str">
        <f t="shared" ref="BG3:BG14" ca="1" si="50">IF($BG$2=DATEVALUE($B3),($E3/2/100)*1000*$G3+$G3*1000,IF($BG$2&gt;DATEVALUE($B3),"",(($E3/2/100)*1000)*$G3))</f>
        <v/>
      </c>
      <c r="BH3" s="205" t="str">
        <f t="shared" ref="BH3:BH14" ca="1" si="51">IF($BH$2=DATEVALUE($B3),($E3/2/100)*1000*$G3+$G3*1000,IF($BH$2&gt;DATEVALUE($B3),"",(($E3/2/100)*1000)*$G3))</f>
        <v/>
      </c>
      <c r="BI3" s="205" t="str">
        <f t="shared" ref="BI3:BI14" ca="1" si="52">IF($BI$2=DATEVALUE($B3),($E3/2/100)*1000*$G3+$G3*1000,IF($BI$2&gt;DATEVALUE($B3),"",(($E3/2/100)*1000)*$G3))</f>
        <v/>
      </c>
      <c r="BJ3" s="205" t="str">
        <f t="shared" ref="BJ3:BJ14" ca="1" si="53">IF($BJ$2=DATEVALUE($B3),($E3/2/100)*1000*$G3+$G3*1000,IF($BJ$2&gt;DATEVALUE($B3),"",(($E3/2/100)*1000)*$G3))</f>
        <v/>
      </c>
      <c r="BK3" s="205" t="str">
        <f t="shared" ref="BK3:BK14" ca="1" si="54">IF($BK$2=DATEVALUE($B3),($E3/2/100)*1000*$G3+$G3*1000,IF($BK$2&gt;DATEVALUE($B3),"",(($E3/2/100)*1000)*$G3))</f>
        <v/>
      </c>
      <c r="BL3" s="205" t="str">
        <f t="shared" ref="BL3:BL14" ca="1" si="55">IF($BL$2=DATEVALUE($B3),($E3/2/100)*1000*$G3+$G3*1000,IF($BL$2&gt;DATEVALUE($B3),"",(($E3/2/100)*1000)*$G3))</f>
        <v/>
      </c>
      <c r="BM3" s="205" t="str">
        <f t="shared" ref="BM3:BM14" ca="1" si="56">IF($BM$2=DATEVALUE($B3),($E3/2/100)*1000*$G3+$G3*1000,IF($BM$2&gt;DATEVALUE($B3),"",(($E3/2/100)*1000)*$G3))</f>
        <v/>
      </c>
      <c r="BN3" s="205" t="str">
        <f t="shared" ref="BN3:BN14" ca="1" si="57">IF($BN$2=DATEVALUE($B3),($E3/2/100)*1000*$G3+$G3*1000,IF($BN$2&gt;DATEVALUE($B3),"",(($E3/2/100)*1000)*$G3))</f>
        <v/>
      </c>
      <c r="BO3" s="205" t="str">
        <f t="shared" ref="BO3:BO14" ca="1" si="58">IF($BO$2=DATEVALUE($B3),($E3/2/100)*1000*$G3+$G3*1000,IF($BO$2&gt;DATEVALUE($B3),"",(($E3/2/100)*1000)*$G3))</f>
        <v/>
      </c>
      <c r="BP3" s="205" t="str">
        <f t="shared" ref="BP3:BP14" ca="1" si="59">IF($BP$2=DATEVALUE($B3),($E3/2/100)*1000*$G3+$G3*1000,IF($BP$2&gt;DATEVALUE($B3),"",(($E3/2/100)*1000)*$G3))</f>
        <v/>
      </c>
      <c r="BQ3" s="205" t="str">
        <f t="shared" ref="BQ3:BQ14" ca="1" si="60">IF($BQ$2=DATEVALUE($B3),($E3/2/100)*1000*$G3+$G3*1000,IF($BQ$2&gt;DATEVALUE($B3),"",(($E3/2/100)*1000)*$G3))</f>
        <v/>
      </c>
      <c r="BR3" s="205" t="str">
        <f t="shared" ref="BR3:BR14" ca="1" si="61">IF($BR$2=DATEVALUE($B3),($E3/2/100)*1000*$G3+$G3*1000,IF($BR$2&gt;DATEVALUE($B3),"",(($E3/2/100)*1000)*$G3))</f>
        <v/>
      </c>
      <c r="BS3" s="205" t="str">
        <f t="shared" ref="BS3:BS14" ca="1" si="62">IF($BS$2=DATEVALUE($B3),($E3/2/100)*1000*$G3+$G3*1000,IF($BS$2&gt;DATEVALUE($B3),"",(($E3/2/100)*1000)*$G3))</f>
        <v/>
      </c>
      <c r="BT3" s="205" t="str">
        <f t="shared" ref="BT3:BT14" ca="1" si="63">IF($BT$2=DATEVALUE($B3),($E3/2/100)*1000*$G3+$G3*1000,IF($BT$2&gt;DATEVALUE($B3),"",(($E3/2/100)*1000)*$G3))</f>
        <v/>
      </c>
      <c r="BU3" s="205" t="str">
        <f t="shared" ref="BU3:BU14" ca="1" si="64">IF($BU$2=DATEVALUE($B3),($E3/2/100)*1000*$G3+$G3*1000,IF($BU$2&gt;DATEVALUE($B3),"",(($E3/2/100)*1000)*$G3))</f>
        <v/>
      </c>
      <c r="BV3" s="205" t="str">
        <f t="shared" ref="BV3:BV14" ca="1" si="65">IF($BV$2=DATEVALUE($B3),($E3/2/100)*1000*$G3+$G3*1000,IF($BV$2&gt;DATEVALUE($B3),"",(($E3/2/100)*1000)*$G3))</f>
        <v/>
      </c>
      <c r="BW3" s="205" t="str">
        <f t="shared" ref="BW3:BW14" ca="1" si="66">IF($BW$2=DATEVALUE($B3),($E3/2/100)*1000*$G3+$G3*1000,IF($BW$2&gt;DATEVALUE($B3),"",(($E3/2/100)*1000)*$G3))</f>
        <v/>
      </c>
      <c r="BX3" s="205" t="str">
        <f t="shared" ref="BX3:BX14" ca="1" si="67">IF($BX$2=DATEVALUE($B3),($E3/2/100)*1000*$G3+$G3*1000,IF($BX$2&gt;DATEVALUE($B3),"",(($E3/2/100)*1000)*$G3))</f>
        <v/>
      </c>
      <c r="BY3" s="205" t="str">
        <f t="shared" ref="BY3:BY14" ca="1" si="68">IF($BY$2=DATEVALUE($B3),($E3/2/100)*1000*$G3+$G3*1000,IF($BY$2&gt;DATEVALUE($B3),"",(($E3/2/100)*1000)*$G3))</f>
        <v/>
      </c>
      <c r="BZ3" s="205" t="str">
        <f t="shared" ref="BZ3:BZ14" ca="1" si="69">IF($BZ$2=DATEVALUE($B3),($E3/2/100)*1000*$G3+$G3*1000,IF($BZ$2&gt;DATEVALUE($B3),"",(($E3/2/100)*1000)*$G3))</f>
        <v/>
      </c>
      <c r="CA3" s="205" t="str">
        <f t="shared" ref="CA3:CA14" ca="1" si="70">IF($CA$2=DATEVALUE($B3),($E3/2/100)*1000*$G3+$G3*1000,IF($CA$2&gt;DATEVALUE($B3),"",(($E3/2/100)*1000)*$G3))</f>
        <v/>
      </c>
    </row>
    <row r="4" spans="1:79">
      <c r="A4" s="181" t="s">
        <v>117</v>
      </c>
      <c r="B4" s="214" t="str">
        <f ca="1">OFFSET(bd_bonos!$A$1,MATCH(bs_flujo!$A4,bd_bonos!$A:$A,0)-1,11)</f>
        <v>12/09/2023</v>
      </c>
      <c r="C4" s="181">
        <f t="shared" ref="C4:C14" ca="1" si="71">YEAR(B4)</f>
        <v>2023</v>
      </c>
      <c r="D4" s="181" t="s">
        <v>568</v>
      </c>
      <c r="E4" s="204">
        <f ca="1">OFFSET(bd_bonos!$A$1,MATCH(bs_flujo!$A4,bd_bonos!$A:$A,0)-1,4)</f>
        <v>5.2</v>
      </c>
      <c r="F4" s="181" t="s">
        <v>569</v>
      </c>
      <c r="G4" s="205">
        <f ca="1">OFFSET(bd_bonos!$A$1,MATCH(bs_flujo!$A4,bd_bonos!$A:$A,0)-1,33)/1000</f>
        <v>5886504</v>
      </c>
      <c r="H4" s="205">
        <f t="shared" ca="1" si="0"/>
        <v>153049104.00000003</v>
      </c>
      <c r="I4" s="205">
        <f t="shared" ca="1" si="1"/>
        <v>153049104.00000003</v>
      </c>
      <c r="J4" s="205">
        <f t="shared" ca="1" si="2"/>
        <v>153049104.00000003</v>
      </c>
      <c r="K4" s="205">
        <f t="shared" ca="1" si="3"/>
        <v>153049104.00000003</v>
      </c>
      <c r="L4" s="205">
        <f t="shared" ca="1" si="4"/>
        <v>153049104.00000003</v>
      </c>
      <c r="M4" s="205">
        <f t="shared" ca="1" si="5"/>
        <v>153049104.00000003</v>
      </c>
      <c r="N4" s="205">
        <f t="shared" ca="1" si="6"/>
        <v>153049104.00000003</v>
      </c>
      <c r="O4" s="205">
        <f t="shared" ca="1" si="7"/>
        <v>153049104.00000003</v>
      </c>
      <c r="P4" s="205">
        <f ca="1">IF(2=DATEVALUE($B4),($E4/2/100)*1000*$G4+$G4*1000,IF(2&gt;DATEVALUE($B4),"",(($E4/2/100)*1000)*$G4))+($G4*1000)</f>
        <v>6039553104</v>
      </c>
      <c r="Q4" s="205" t="str">
        <f t="shared" ca="1" si="8"/>
        <v/>
      </c>
      <c r="R4" s="205" t="str">
        <f t="shared" ca="1" si="9"/>
        <v/>
      </c>
      <c r="S4" s="205" t="str">
        <f t="shared" ca="1" si="10"/>
        <v/>
      </c>
      <c r="T4" s="205" t="str">
        <f t="shared" ca="1" si="11"/>
        <v/>
      </c>
      <c r="U4" s="205" t="str">
        <f t="shared" ca="1" si="12"/>
        <v/>
      </c>
      <c r="V4" s="205" t="str">
        <f t="shared" ca="1" si="13"/>
        <v/>
      </c>
      <c r="W4" s="205" t="str">
        <f t="shared" ca="1" si="14"/>
        <v/>
      </c>
      <c r="X4" s="205" t="str">
        <f t="shared" ca="1" si="15"/>
        <v/>
      </c>
      <c r="Y4" s="205" t="str">
        <f t="shared" ca="1" si="16"/>
        <v/>
      </c>
      <c r="Z4" s="205" t="str">
        <f t="shared" ca="1" si="17"/>
        <v/>
      </c>
      <c r="AA4" s="205" t="str">
        <f t="shared" ca="1" si="18"/>
        <v/>
      </c>
      <c r="AB4" s="205" t="str">
        <f t="shared" ca="1" si="19"/>
        <v/>
      </c>
      <c r="AC4" s="205" t="str">
        <f t="shared" ca="1" si="20"/>
        <v/>
      </c>
      <c r="AD4" s="205" t="str">
        <f t="shared" ca="1" si="21"/>
        <v/>
      </c>
      <c r="AE4" s="205" t="str">
        <f t="shared" ca="1" si="22"/>
        <v/>
      </c>
      <c r="AF4" s="205" t="str">
        <f t="shared" ca="1" si="23"/>
        <v/>
      </c>
      <c r="AG4" s="205" t="str">
        <f t="shared" ca="1" si="24"/>
        <v/>
      </c>
      <c r="AH4" s="205" t="str">
        <f t="shared" ca="1" si="25"/>
        <v/>
      </c>
      <c r="AI4" s="205" t="str">
        <f t="shared" ca="1" si="26"/>
        <v/>
      </c>
      <c r="AJ4" s="205" t="str">
        <f t="shared" ca="1" si="27"/>
        <v/>
      </c>
      <c r="AK4" s="205" t="str">
        <f t="shared" ca="1" si="28"/>
        <v/>
      </c>
      <c r="AL4" s="205" t="str">
        <f t="shared" ca="1" si="29"/>
        <v/>
      </c>
      <c r="AM4" s="205" t="str">
        <f t="shared" ca="1" si="30"/>
        <v/>
      </c>
      <c r="AN4" s="205" t="str">
        <f t="shared" ca="1" si="31"/>
        <v/>
      </c>
      <c r="AO4" s="205" t="str">
        <f t="shared" ca="1" si="32"/>
        <v/>
      </c>
      <c r="AP4" s="205" t="str">
        <f t="shared" ca="1" si="33"/>
        <v/>
      </c>
      <c r="AQ4" s="205" t="str">
        <f t="shared" ca="1" si="34"/>
        <v/>
      </c>
      <c r="AR4" s="205" t="str">
        <f t="shared" ca="1" si="35"/>
        <v/>
      </c>
      <c r="AS4" s="205" t="str">
        <f t="shared" ca="1" si="36"/>
        <v/>
      </c>
      <c r="AT4" s="205" t="str">
        <f t="shared" ca="1" si="37"/>
        <v/>
      </c>
      <c r="AU4" s="205" t="str">
        <f t="shared" ca="1" si="38"/>
        <v/>
      </c>
      <c r="AV4" s="205" t="str">
        <f t="shared" ca="1" si="39"/>
        <v/>
      </c>
      <c r="AW4" s="205" t="str">
        <f t="shared" ca="1" si="40"/>
        <v/>
      </c>
      <c r="AX4" s="205" t="str">
        <f t="shared" ca="1" si="41"/>
        <v/>
      </c>
      <c r="AY4" s="205" t="str">
        <f t="shared" ca="1" si="42"/>
        <v/>
      </c>
      <c r="AZ4" s="205" t="str">
        <f t="shared" ca="1" si="43"/>
        <v/>
      </c>
      <c r="BA4" s="205" t="str">
        <f t="shared" ca="1" si="44"/>
        <v/>
      </c>
      <c r="BB4" s="205" t="str">
        <f t="shared" ca="1" si="45"/>
        <v/>
      </c>
      <c r="BC4" s="205" t="str">
        <f t="shared" ca="1" si="46"/>
        <v/>
      </c>
      <c r="BD4" s="205" t="str">
        <f t="shared" ca="1" si="47"/>
        <v/>
      </c>
      <c r="BE4" s="205" t="str">
        <f t="shared" ca="1" si="48"/>
        <v/>
      </c>
      <c r="BF4" s="205" t="str">
        <f t="shared" ca="1" si="49"/>
        <v/>
      </c>
      <c r="BG4" s="205" t="str">
        <f t="shared" ca="1" si="50"/>
        <v/>
      </c>
      <c r="BH4" s="205" t="str">
        <f t="shared" ca="1" si="51"/>
        <v/>
      </c>
      <c r="BI4" s="205" t="str">
        <f t="shared" ca="1" si="52"/>
        <v/>
      </c>
      <c r="BJ4" s="205" t="str">
        <f t="shared" ca="1" si="53"/>
        <v/>
      </c>
      <c r="BK4" s="205" t="str">
        <f t="shared" ca="1" si="54"/>
        <v/>
      </c>
      <c r="BL4" s="205" t="str">
        <f t="shared" ca="1" si="55"/>
        <v/>
      </c>
      <c r="BM4" s="205" t="str">
        <f t="shared" ca="1" si="56"/>
        <v/>
      </c>
      <c r="BN4" s="205" t="str">
        <f t="shared" ca="1" si="57"/>
        <v/>
      </c>
      <c r="BO4" s="205" t="str">
        <f t="shared" ca="1" si="58"/>
        <v/>
      </c>
      <c r="BP4" s="205" t="str">
        <f t="shared" ca="1" si="59"/>
        <v/>
      </c>
      <c r="BQ4" s="205" t="str">
        <f t="shared" ca="1" si="60"/>
        <v/>
      </c>
      <c r="BR4" s="205" t="str">
        <f t="shared" ca="1" si="61"/>
        <v/>
      </c>
      <c r="BS4" s="205" t="str">
        <f t="shared" ca="1" si="62"/>
        <v/>
      </c>
      <c r="BT4" s="205" t="str">
        <f t="shared" ca="1" si="63"/>
        <v/>
      </c>
      <c r="BU4" s="205" t="str">
        <f t="shared" ca="1" si="64"/>
        <v/>
      </c>
      <c r="BV4" s="205" t="str">
        <f t="shared" ca="1" si="65"/>
        <v/>
      </c>
      <c r="BW4" s="205" t="str">
        <f t="shared" ca="1" si="66"/>
        <v/>
      </c>
      <c r="BX4" s="205" t="str">
        <f t="shared" ca="1" si="67"/>
        <v/>
      </c>
      <c r="BY4" s="205" t="str">
        <f t="shared" ca="1" si="68"/>
        <v/>
      </c>
      <c r="BZ4" s="205" t="str">
        <f t="shared" ca="1" si="69"/>
        <v/>
      </c>
      <c r="CA4" s="205" t="str">
        <f t="shared" ca="1" si="70"/>
        <v/>
      </c>
    </row>
    <row r="5" spans="1:79">
      <c r="A5" s="181" t="s">
        <v>118</v>
      </c>
      <c r="B5" s="214" t="str">
        <f ca="1">OFFSET(bd_bonos!$A$1,MATCH(bs_flujo!$A5,bd_bonos!$A:$A,0)-1,11)</f>
        <v>12/08/2024</v>
      </c>
      <c r="C5" s="181">
        <f t="shared" ca="1" si="71"/>
        <v>2024</v>
      </c>
      <c r="D5" s="181" t="s">
        <v>568</v>
      </c>
      <c r="E5" s="204">
        <f ca="1">OFFSET(bd_bonos!$A$1,MATCH(bs_flujo!$A5,bd_bonos!$A:$A,0)-1,4)</f>
        <v>5.7</v>
      </c>
      <c r="F5" s="181" t="s">
        <v>569</v>
      </c>
      <c r="G5" s="205">
        <f ca="1">OFFSET(bd_bonos!$A$1,MATCH(bs_flujo!$A5,bd_bonos!$A:$A,0)-1,33)/1000</f>
        <v>11278348</v>
      </c>
      <c r="H5" s="205">
        <f t="shared" ca="1" si="0"/>
        <v>321432918</v>
      </c>
      <c r="I5" s="205">
        <f t="shared" ca="1" si="1"/>
        <v>321432918</v>
      </c>
      <c r="J5" s="205">
        <f t="shared" ca="1" si="2"/>
        <v>321432918</v>
      </c>
      <c r="K5" s="205">
        <f t="shared" ca="1" si="3"/>
        <v>321432918</v>
      </c>
      <c r="L5" s="205">
        <f t="shared" ca="1" si="4"/>
        <v>321432918</v>
      </c>
      <c r="M5" s="205">
        <f t="shared" ca="1" si="5"/>
        <v>321432918</v>
      </c>
      <c r="N5" s="205">
        <f t="shared" ca="1" si="6"/>
        <v>321432918</v>
      </c>
      <c r="O5" s="205">
        <f t="shared" ca="1" si="7"/>
        <v>321432918</v>
      </c>
      <c r="P5" s="205">
        <f t="shared" ref="P5:P14" ca="1" si="72">IF($P$2=DATEVALUE($B5),($E5/2/100)*1000*$G5+$G5*1000,IF($P$2&gt;DATEVALUE($B5),"",(($E5/2/100)*1000)*$G5))</f>
        <v>321432918</v>
      </c>
      <c r="Q5" s="205">
        <f t="shared" ca="1" si="8"/>
        <v>321432918</v>
      </c>
      <c r="R5" s="205">
        <f t="shared" ca="1" si="9"/>
        <v>11599780918</v>
      </c>
      <c r="S5" s="205" t="str">
        <f t="shared" ca="1" si="10"/>
        <v/>
      </c>
      <c r="T5" s="205" t="str">
        <f t="shared" ca="1" si="11"/>
        <v/>
      </c>
      <c r="U5" s="205" t="str">
        <f t="shared" ca="1" si="12"/>
        <v/>
      </c>
      <c r="V5" s="205" t="str">
        <f t="shared" ca="1" si="13"/>
        <v/>
      </c>
      <c r="W5" s="205" t="str">
        <f t="shared" ca="1" si="14"/>
        <v/>
      </c>
      <c r="X5" s="205" t="str">
        <f t="shared" ca="1" si="15"/>
        <v/>
      </c>
      <c r="Y5" s="205" t="str">
        <f t="shared" ca="1" si="16"/>
        <v/>
      </c>
      <c r="Z5" s="205" t="str">
        <f t="shared" ca="1" si="17"/>
        <v/>
      </c>
      <c r="AA5" s="205" t="str">
        <f t="shared" ca="1" si="18"/>
        <v/>
      </c>
      <c r="AB5" s="205" t="str">
        <f t="shared" ca="1" si="19"/>
        <v/>
      </c>
      <c r="AC5" s="205" t="str">
        <f t="shared" ca="1" si="20"/>
        <v/>
      </c>
      <c r="AD5" s="205" t="str">
        <f t="shared" ca="1" si="21"/>
        <v/>
      </c>
      <c r="AE5" s="205" t="str">
        <f t="shared" ca="1" si="22"/>
        <v/>
      </c>
      <c r="AF5" s="205" t="str">
        <f t="shared" ca="1" si="23"/>
        <v/>
      </c>
      <c r="AG5" s="205" t="str">
        <f t="shared" ca="1" si="24"/>
        <v/>
      </c>
      <c r="AH5" s="205" t="str">
        <f t="shared" ca="1" si="25"/>
        <v/>
      </c>
      <c r="AI5" s="205" t="str">
        <f t="shared" ca="1" si="26"/>
        <v/>
      </c>
      <c r="AJ5" s="205" t="str">
        <f t="shared" ca="1" si="27"/>
        <v/>
      </c>
      <c r="AK5" s="205" t="str">
        <f t="shared" ca="1" si="28"/>
        <v/>
      </c>
      <c r="AL5" s="205" t="str">
        <f t="shared" ca="1" si="29"/>
        <v/>
      </c>
      <c r="AM5" s="205" t="str">
        <f t="shared" ca="1" si="30"/>
        <v/>
      </c>
      <c r="AN5" s="205" t="str">
        <f t="shared" ca="1" si="31"/>
        <v/>
      </c>
      <c r="AO5" s="205" t="str">
        <f t="shared" ca="1" si="32"/>
        <v/>
      </c>
      <c r="AP5" s="205" t="str">
        <f t="shared" ca="1" si="33"/>
        <v/>
      </c>
      <c r="AQ5" s="205" t="str">
        <f t="shared" ca="1" si="34"/>
        <v/>
      </c>
      <c r="AR5" s="205" t="str">
        <f t="shared" ca="1" si="35"/>
        <v/>
      </c>
      <c r="AS5" s="205" t="str">
        <f t="shared" ca="1" si="36"/>
        <v/>
      </c>
      <c r="AT5" s="205" t="str">
        <f t="shared" ca="1" si="37"/>
        <v/>
      </c>
      <c r="AU5" s="205" t="str">
        <f t="shared" ca="1" si="38"/>
        <v/>
      </c>
      <c r="AV5" s="205" t="str">
        <f t="shared" ca="1" si="39"/>
        <v/>
      </c>
      <c r="AW5" s="205" t="str">
        <f t="shared" ca="1" si="40"/>
        <v/>
      </c>
      <c r="AX5" s="205" t="str">
        <f t="shared" ca="1" si="41"/>
        <v/>
      </c>
      <c r="AY5" s="205" t="str">
        <f t="shared" ca="1" si="42"/>
        <v/>
      </c>
      <c r="AZ5" s="205" t="str">
        <f t="shared" ca="1" si="43"/>
        <v/>
      </c>
      <c r="BA5" s="205" t="str">
        <f t="shared" ca="1" si="44"/>
        <v/>
      </c>
      <c r="BB5" s="205" t="str">
        <f t="shared" ca="1" si="45"/>
        <v/>
      </c>
      <c r="BC5" s="205" t="str">
        <f t="shared" ca="1" si="46"/>
        <v/>
      </c>
      <c r="BD5" s="205" t="str">
        <f t="shared" ca="1" si="47"/>
        <v/>
      </c>
      <c r="BE5" s="205" t="str">
        <f t="shared" ca="1" si="48"/>
        <v/>
      </c>
      <c r="BF5" s="205" t="str">
        <f t="shared" ca="1" si="49"/>
        <v/>
      </c>
      <c r="BG5" s="205" t="str">
        <f t="shared" ca="1" si="50"/>
        <v/>
      </c>
      <c r="BH5" s="205" t="str">
        <f t="shared" ca="1" si="51"/>
        <v/>
      </c>
      <c r="BI5" s="205" t="str">
        <f t="shared" ca="1" si="52"/>
        <v/>
      </c>
      <c r="BJ5" s="205" t="str">
        <f t="shared" ca="1" si="53"/>
        <v/>
      </c>
      <c r="BK5" s="205" t="str">
        <f t="shared" ca="1" si="54"/>
        <v/>
      </c>
      <c r="BL5" s="205" t="str">
        <f t="shared" ca="1" si="55"/>
        <v/>
      </c>
      <c r="BM5" s="205" t="str">
        <f t="shared" ca="1" si="56"/>
        <v/>
      </c>
      <c r="BN5" s="205" t="str">
        <f t="shared" ca="1" si="57"/>
        <v/>
      </c>
      <c r="BO5" s="205" t="str">
        <f t="shared" ca="1" si="58"/>
        <v/>
      </c>
      <c r="BP5" s="205" t="str">
        <f t="shared" ca="1" si="59"/>
        <v/>
      </c>
      <c r="BQ5" s="205" t="str">
        <f t="shared" ca="1" si="60"/>
        <v/>
      </c>
      <c r="BR5" s="205" t="str">
        <f t="shared" ca="1" si="61"/>
        <v/>
      </c>
      <c r="BS5" s="205" t="str">
        <f t="shared" ca="1" si="62"/>
        <v/>
      </c>
      <c r="BT5" s="205" t="str">
        <f t="shared" ca="1" si="63"/>
        <v/>
      </c>
      <c r="BU5" s="205" t="str">
        <f t="shared" ca="1" si="64"/>
        <v/>
      </c>
      <c r="BV5" s="205" t="str">
        <f t="shared" ca="1" si="65"/>
        <v/>
      </c>
      <c r="BW5" s="205" t="str">
        <f t="shared" ca="1" si="66"/>
        <v/>
      </c>
      <c r="BX5" s="205" t="str">
        <f t="shared" ca="1" si="67"/>
        <v/>
      </c>
      <c r="BY5" s="205" t="str">
        <f t="shared" ca="1" si="68"/>
        <v/>
      </c>
      <c r="BZ5" s="205" t="str">
        <f t="shared" ca="1" si="69"/>
        <v/>
      </c>
      <c r="CA5" s="205" t="str">
        <f t="shared" ca="1" si="70"/>
        <v/>
      </c>
    </row>
    <row r="6" spans="1:79">
      <c r="A6" s="181" t="s">
        <v>119</v>
      </c>
      <c r="B6" s="214" t="str">
        <f ca="1">OFFSET(bd_bonos!$A$1,MATCH(bs_flujo!$A6,bd_bonos!$A:$A,0)-1,11)</f>
        <v>12/08/2026</v>
      </c>
      <c r="C6" s="181">
        <f t="shared" ca="1" si="71"/>
        <v>2026</v>
      </c>
      <c r="D6" s="181" t="s">
        <v>568</v>
      </c>
      <c r="E6" s="204">
        <f ca="1">OFFSET(bd_bonos!$A$1,MATCH(bs_flujo!$A6,bd_bonos!$A:$A,0)-1,4)</f>
        <v>8.1999999999999993</v>
      </c>
      <c r="F6" s="181" t="s">
        <v>569</v>
      </c>
      <c r="G6" s="205">
        <f ca="1">OFFSET(bd_bonos!$A$1,MATCH(bs_flujo!$A6,bd_bonos!$A:$A,0)-1,33)/1000</f>
        <v>12515340</v>
      </c>
      <c r="H6" s="205">
        <f t="shared" ca="1" si="0"/>
        <v>513128939.99999994</v>
      </c>
      <c r="I6" s="205">
        <f t="shared" ca="1" si="1"/>
        <v>513128939.99999994</v>
      </c>
      <c r="J6" s="205">
        <f t="shared" ca="1" si="2"/>
        <v>513128939.99999994</v>
      </c>
      <c r="K6" s="205">
        <f t="shared" ca="1" si="3"/>
        <v>513128939.99999994</v>
      </c>
      <c r="L6" s="205">
        <f t="shared" ca="1" si="4"/>
        <v>513128939.99999994</v>
      </c>
      <c r="M6" s="205">
        <f t="shared" ca="1" si="5"/>
        <v>513128939.99999994</v>
      </c>
      <c r="N6" s="205">
        <f t="shared" ca="1" si="6"/>
        <v>513128939.99999994</v>
      </c>
      <c r="O6" s="205">
        <f t="shared" ca="1" si="7"/>
        <v>513128939.99999994</v>
      </c>
      <c r="P6" s="205">
        <f t="shared" ca="1" si="72"/>
        <v>513128939.99999994</v>
      </c>
      <c r="Q6" s="205">
        <f t="shared" ca="1" si="8"/>
        <v>513128939.99999994</v>
      </c>
      <c r="R6" s="205">
        <f t="shared" ca="1" si="9"/>
        <v>513128939.99999994</v>
      </c>
      <c r="S6" s="205">
        <f t="shared" ca="1" si="10"/>
        <v>513128939.99999994</v>
      </c>
      <c r="T6" s="205">
        <f t="shared" ca="1" si="11"/>
        <v>513128939.99999994</v>
      </c>
      <c r="U6" s="205">
        <f t="shared" ca="1" si="12"/>
        <v>513128939.99999994</v>
      </c>
      <c r="V6" s="205">
        <f t="shared" ca="1" si="13"/>
        <v>13028468940</v>
      </c>
      <c r="W6" s="205" t="str">
        <f t="shared" ca="1" si="14"/>
        <v/>
      </c>
      <c r="X6" s="205" t="str">
        <f t="shared" ca="1" si="15"/>
        <v/>
      </c>
      <c r="Y6" s="205" t="str">
        <f t="shared" ca="1" si="16"/>
        <v/>
      </c>
      <c r="Z6" s="205" t="str">
        <f t="shared" ca="1" si="17"/>
        <v/>
      </c>
      <c r="AA6" s="205" t="str">
        <f t="shared" ca="1" si="18"/>
        <v/>
      </c>
      <c r="AB6" s="205" t="str">
        <f t="shared" ca="1" si="19"/>
        <v/>
      </c>
      <c r="AC6" s="205" t="str">
        <f t="shared" ca="1" si="20"/>
        <v/>
      </c>
      <c r="AD6" s="205" t="str">
        <f t="shared" ca="1" si="21"/>
        <v/>
      </c>
      <c r="AE6" s="205" t="str">
        <f t="shared" ca="1" si="22"/>
        <v/>
      </c>
      <c r="AF6" s="205" t="str">
        <f t="shared" ca="1" si="23"/>
        <v/>
      </c>
      <c r="AG6" s="205" t="str">
        <f t="shared" ca="1" si="24"/>
        <v/>
      </c>
      <c r="AH6" s="205" t="str">
        <f t="shared" ca="1" si="25"/>
        <v/>
      </c>
      <c r="AI6" s="205" t="str">
        <f t="shared" ca="1" si="26"/>
        <v/>
      </c>
      <c r="AJ6" s="205" t="str">
        <f t="shared" ca="1" si="27"/>
        <v/>
      </c>
      <c r="AK6" s="205" t="str">
        <f t="shared" ca="1" si="28"/>
        <v/>
      </c>
      <c r="AL6" s="205" t="str">
        <f t="shared" ca="1" si="29"/>
        <v/>
      </c>
      <c r="AM6" s="205" t="str">
        <f t="shared" ca="1" si="30"/>
        <v/>
      </c>
      <c r="AN6" s="205" t="str">
        <f t="shared" ca="1" si="31"/>
        <v/>
      </c>
      <c r="AO6" s="205" t="str">
        <f t="shared" ca="1" si="32"/>
        <v/>
      </c>
      <c r="AP6" s="205" t="str">
        <f t="shared" ca="1" si="33"/>
        <v/>
      </c>
      <c r="AQ6" s="205" t="str">
        <f t="shared" ca="1" si="34"/>
        <v/>
      </c>
      <c r="AR6" s="205" t="str">
        <f t="shared" ca="1" si="35"/>
        <v/>
      </c>
      <c r="AS6" s="205" t="str">
        <f t="shared" ca="1" si="36"/>
        <v/>
      </c>
      <c r="AT6" s="205" t="str">
        <f t="shared" ca="1" si="37"/>
        <v/>
      </c>
      <c r="AU6" s="205" t="str">
        <f t="shared" ca="1" si="38"/>
        <v/>
      </c>
      <c r="AV6" s="205" t="str">
        <f t="shared" ca="1" si="39"/>
        <v/>
      </c>
      <c r="AW6" s="205" t="str">
        <f t="shared" ca="1" si="40"/>
        <v/>
      </c>
      <c r="AX6" s="205" t="str">
        <f t="shared" ca="1" si="41"/>
        <v/>
      </c>
      <c r="AY6" s="205" t="str">
        <f t="shared" ca="1" si="42"/>
        <v/>
      </c>
      <c r="AZ6" s="205" t="str">
        <f t="shared" ca="1" si="43"/>
        <v/>
      </c>
      <c r="BA6" s="205" t="str">
        <f t="shared" ca="1" si="44"/>
        <v/>
      </c>
      <c r="BB6" s="205" t="str">
        <f t="shared" ca="1" si="45"/>
        <v/>
      </c>
      <c r="BC6" s="205" t="str">
        <f t="shared" ca="1" si="46"/>
        <v/>
      </c>
      <c r="BD6" s="205" t="str">
        <f t="shared" ca="1" si="47"/>
        <v/>
      </c>
      <c r="BE6" s="205" t="str">
        <f t="shared" ca="1" si="48"/>
        <v/>
      </c>
      <c r="BF6" s="205" t="str">
        <f t="shared" ca="1" si="49"/>
        <v/>
      </c>
      <c r="BG6" s="205" t="str">
        <f t="shared" ca="1" si="50"/>
        <v/>
      </c>
      <c r="BH6" s="205" t="str">
        <f t="shared" ca="1" si="51"/>
        <v/>
      </c>
      <c r="BI6" s="205" t="str">
        <f t="shared" ca="1" si="52"/>
        <v/>
      </c>
      <c r="BJ6" s="205" t="str">
        <f t="shared" ca="1" si="53"/>
        <v/>
      </c>
      <c r="BK6" s="205" t="str">
        <f t="shared" ca="1" si="54"/>
        <v/>
      </c>
      <c r="BL6" s="205" t="str">
        <f t="shared" ca="1" si="55"/>
        <v/>
      </c>
      <c r="BM6" s="205" t="str">
        <f t="shared" ca="1" si="56"/>
        <v/>
      </c>
      <c r="BN6" s="205" t="str">
        <f t="shared" ca="1" si="57"/>
        <v/>
      </c>
      <c r="BO6" s="205" t="str">
        <f t="shared" ca="1" si="58"/>
        <v/>
      </c>
      <c r="BP6" s="205" t="str">
        <f t="shared" ca="1" si="59"/>
        <v/>
      </c>
      <c r="BQ6" s="205" t="str">
        <f t="shared" ca="1" si="60"/>
        <v/>
      </c>
      <c r="BR6" s="205" t="str">
        <f t="shared" ca="1" si="61"/>
        <v/>
      </c>
      <c r="BS6" s="205" t="str">
        <f t="shared" ca="1" si="62"/>
        <v/>
      </c>
      <c r="BT6" s="205" t="str">
        <f t="shared" ca="1" si="63"/>
        <v/>
      </c>
      <c r="BU6" s="205" t="str">
        <f t="shared" ca="1" si="64"/>
        <v/>
      </c>
      <c r="BV6" s="205" t="str">
        <f t="shared" ca="1" si="65"/>
        <v/>
      </c>
      <c r="BW6" s="205" t="str">
        <f t="shared" ca="1" si="66"/>
        <v/>
      </c>
      <c r="BX6" s="205" t="str">
        <f t="shared" ca="1" si="67"/>
        <v/>
      </c>
      <c r="BY6" s="205" t="str">
        <f t="shared" ca="1" si="68"/>
        <v/>
      </c>
      <c r="BZ6" s="205" t="str">
        <f t="shared" ca="1" si="69"/>
        <v/>
      </c>
      <c r="CA6" s="205" t="str">
        <f t="shared" ca="1" si="70"/>
        <v/>
      </c>
    </row>
    <row r="7" spans="1:79">
      <c r="A7" s="181" t="s">
        <v>120</v>
      </c>
      <c r="B7" s="214" t="str">
        <f ca="1">OFFSET(bd_bonos!$A$1,MATCH(bs_flujo!$A7,bd_bonos!$A:$A,0)-1,11)</f>
        <v>12/08/2028</v>
      </c>
      <c r="C7" s="181">
        <f t="shared" ca="1" si="71"/>
        <v>2028</v>
      </c>
      <c r="D7" s="181" t="s">
        <v>568</v>
      </c>
      <c r="E7" s="204">
        <f ca="1">OFFSET(bd_bonos!$A$1,MATCH(bs_flujo!$A7,bd_bonos!$A:$A,0)-1,4)</f>
        <v>6.35</v>
      </c>
      <c r="F7" s="181" t="s">
        <v>569</v>
      </c>
      <c r="G7" s="205">
        <f ca="1">OFFSET(bd_bonos!$A$1,MATCH(bs_flujo!$A7,bd_bonos!$A:$A,0)-1,33)/1000</f>
        <v>14471160</v>
      </c>
      <c r="H7" s="205">
        <f t="shared" ca="1" si="0"/>
        <v>459459330</v>
      </c>
      <c r="I7" s="205">
        <f t="shared" ca="1" si="1"/>
        <v>459459330</v>
      </c>
      <c r="J7" s="205">
        <f t="shared" ca="1" si="2"/>
        <v>459459330</v>
      </c>
      <c r="K7" s="205">
        <f t="shared" ca="1" si="3"/>
        <v>459459330</v>
      </c>
      <c r="L7" s="205">
        <f t="shared" ca="1" si="4"/>
        <v>459459330</v>
      </c>
      <c r="M7" s="205">
        <f t="shared" ca="1" si="5"/>
        <v>459459330</v>
      </c>
      <c r="N7" s="205">
        <f t="shared" ca="1" si="6"/>
        <v>459459330</v>
      </c>
      <c r="O7" s="205">
        <f t="shared" ca="1" si="7"/>
        <v>459459330</v>
      </c>
      <c r="P7" s="205">
        <f t="shared" ca="1" si="72"/>
        <v>459459330</v>
      </c>
      <c r="Q7" s="205">
        <f t="shared" ca="1" si="8"/>
        <v>459459330</v>
      </c>
      <c r="R7" s="205">
        <f t="shared" ca="1" si="9"/>
        <v>459459330</v>
      </c>
      <c r="S7" s="205">
        <f t="shared" ca="1" si="10"/>
        <v>459459330</v>
      </c>
      <c r="T7" s="205">
        <f t="shared" ca="1" si="11"/>
        <v>459459330</v>
      </c>
      <c r="U7" s="205">
        <f t="shared" ca="1" si="12"/>
        <v>459459330</v>
      </c>
      <c r="V7" s="205">
        <f t="shared" ca="1" si="13"/>
        <v>459459330</v>
      </c>
      <c r="W7" s="205">
        <f t="shared" ca="1" si="14"/>
        <v>459459330</v>
      </c>
      <c r="X7" s="205">
        <f t="shared" ca="1" si="15"/>
        <v>459459330</v>
      </c>
      <c r="Y7" s="205">
        <f t="shared" ca="1" si="16"/>
        <v>459459330</v>
      </c>
      <c r="Z7" s="205">
        <f t="shared" ca="1" si="17"/>
        <v>14930619330</v>
      </c>
      <c r="AA7" s="205" t="str">
        <f t="shared" ca="1" si="18"/>
        <v/>
      </c>
      <c r="AB7" s="205" t="str">
        <f t="shared" ca="1" si="19"/>
        <v/>
      </c>
      <c r="AC7" s="205" t="str">
        <f t="shared" ca="1" si="20"/>
        <v/>
      </c>
      <c r="AD7" s="205" t="str">
        <f t="shared" ca="1" si="21"/>
        <v/>
      </c>
      <c r="AE7" s="205" t="str">
        <f t="shared" ca="1" si="22"/>
        <v/>
      </c>
      <c r="AF7" s="205" t="str">
        <f t="shared" ca="1" si="23"/>
        <v/>
      </c>
      <c r="AG7" s="205" t="str">
        <f t="shared" ca="1" si="24"/>
        <v/>
      </c>
      <c r="AH7" s="205" t="str">
        <f t="shared" ca="1" si="25"/>
        <v/>
      </c>
      <c r="AI7" s="205" t="str">
        <f t="shared" ca="1" si="26"/>
        <v/>
      </c>
      <c r="AJ7" s="205" t="str">
        <f t="shared" ca="1" si="27"/>
        <v/>
      </c>
      <c r="AK7" s="205" t="str">
        <f t="shared" ca="1" si="28"/>
        <v/>
      </c>
      <c r="AL7" s="205" t="str">
        <f t="shared" ca="1" si="29"/>
        <v/>
      </c>
      <c r="AM7" s="205" t="str">
        <f t="shared" ca="1" si="30"/>
        <v/>
      </c>
      <c r="AN7" s="205" t="str">
        <f t="shared" ca="1" si="31"/>
        <v/>
      </c>
      <c r="AO7" s="205" t="str">
        <f t="shared" ca="1" si="32"/>
        <v/>
      </c>
      <c r="AP7" s="205" t="str">
        <f t="shared" ca="1" si="33"/>
        <v/>
      </c>
      <c r="AQ7" s="205" t="str">
        <f t="shared" ca="1" si="34"/>
        <v/>
      </c>
      <c r="AR7" s="205" t="str">
        <f t="shared" ca="1" si="35"/>
        <v/>
      </c>
      <c r="AS7" s="205" t="str">
        <f t="shared" ca="1" si="36"/>
        <v/>
      </c>
      <c r="AT7" s="205" t="str">
        <f t="shared" ca="1" si="37"/>
        <v/>
      </c>
      <c r="AU7" s="205" t="str">
        <f t="shared" ca="1" si="38"/>
        <v/>
      </c>
      <c r="AV7" s="205" t="str">
        <f t="shared" ca="1" si="39"/>
        <v/>
      </c>
      <c r="AW7" s="205" t="str">
        <f t="shared" ca="1" si="40"/>
        <v/>
      </c>
      <c r="AX7" s="205" t="str">
        <f t="shared" ca="1" si="41"/>
        <v/>
      </c>
      <c r="AY7" s="205" t="str">
        <f t="shared" ca="1" si="42"/>
        <v/>
      </c>
      <c r="AZ7" s="205" t="str">
        <f t="shared" ca="1" si="43"/>
        <v/>
      </c>
      <c r="BA7" s="205" t="str">
        <f t="shared" ca="1" si="44"/>
        <v/>
      </c>
      <c r="BB7" s="205" t="str">
        <f t="shared" ca="1" si="45"/>
        <v/>
      </c>
      <c r="BC7" s="205" t="str">
        <f t="shared" ca="1" si="46"/>
        <v/>
      </c>
      <c r="BD7" s="205" t="str">
        <f t="shared" ca="1" si="47"/>
        <v/>
      </c>
      <c r="BE7" s="205" t="str">
        <f t="shared" ca="1" si="48"/>
        <v/>
      </c>
      <c r="BF7" s="205" t="str">
        <f t="shared" ca="1" si="49"/>
        <v/>
      </c>
      <c r="BG7" s="205" t="str">
        <f t="shared" ca="1" si="50"/>
        <v/>
      </c>
      <c r="BH7" s="205" t="str">
        <f t="shared" ca="1" si="51"/>
        <v/>
      </c>
      <c r="BI7" s="205" t="str">
        <f t="shared" ca="1" si="52"/>
        <v/>
      </c>
      <c r="BJ7" s="205" t="str">
        <f t="shared" ca="1" si="53"/>
        <v/>
      </c>
      <c r="BK7" s="205" t="str">
        <f t="shared" ca="1" si="54"/>
        <v/>
      </c>
      <c r="BL7" s="205" t="str">
        <f t="shared" ca="1" si="55"/>
        <v/>
      </c>
      <c r="BM7" s="205" t="str">
        <f t="shared" ca="1" si="56"/>
        <v/>
      </c>
      <c r="BN7" s="205" t="str">
        <f t="shared" ca="1" si="57"/>
        <v/>
      </c>
      <c r="BO7" s="205" t="str">
        <f t="shared" ca="1" si="58"/>
        <v/>
      </c>
      <c r="BP7" s="205" t="str">
        <f t="shared" ca="1" si="59"/>
        <v/>
      </c>
      <c r="BQ7" s="205" t="str">
        <f t="shared" ca="1" si="60"/>
        <v/>
      </c>
      <c r="BR7" s="205" t="str">
        <f t="shared" ca="1" si="61"/>
        <v/>
      </c>
      <c r="BS7" s="205" t="str">
        <f t="shared" ca="1" si="62"/>
        <v/>
      </c>
      <c r="BT7" s="205" t="str">
        <f t="shared" ca="1" si="63"/>
        <v/>
      </c>
      <c r="BU7" s="205" t="str">
        <f t="shared" ca="1" si="64"/>
        <v/>
      </c>
      <c r="BV7" s="205" t="str">
        <f t="shared" ca="1" si="65"/>
        <v/>
      </c>
      <c r="BW7" s="205" t="str">
        <f t="shared" ca="1" si="66"/>
        <v/>
      </c>
      <c r="BX7" s="205" t="str">
        <f t="shared" ca="1" si="67"/>
        <v/>
      </c>
      <c r="BY7" s="205" t="str">
        <f t="shared" ca="1" si="68"/>
        <v/>
      </c>
      <c r="BZ7" s="205" t="str">
        <f t="shared" ca="1" si="69"/>
        <v/>
      </c>
      <c r="CA7" s="205" t="str">
        <f t="shared" ca="1" si="70"/>
        <v/>
      </c>
    </row>
    <row r="8" spans="1:79">
      <c r="A8" s="181" t="s">
        <v>121</v>
      </c>
      <c r="B8" s="214" t="str">
        <f ca="1">OFFSET(bd_bonos!$A$1,MATCH(bs_flujo!$A8,bd_bonos!$A:$A,0)-1,11)</f>
        <v>12/02/2029</v>
      </c>
      <c r="C8" s="181">
        <f t="shared" ca="1" si="71"/>
        <v>2029</v>
      </c>
      <c r="D8" s="181" t="s">
        <v>568</v>
      </c>
      <c r="E8" s="204">
        <f ca="1">OFFSET(bd_bonos!$A$1,MATCH(bs_flujo!$A8,bd_bonos!$A:$A,0)-1,4)</f>
        <v>6</v>
      </c>
      <c r="F8" s="181" t="s">
        <v>569</v>
      </c>
      <c r="G8" s="205">
        <f ca="1">OFFSET(bd_bonos!$A$1,MATCH(bs_flujo!$A8,bd_bonos!$A:$A,0)-1,33)/1000</f>
        <v>165264</v>
      </c>
      <c r="H8" s="205">
        <f t="shared" ca="1" si="0"/>
        <v>4957920</v>
      </c>
      <c r="I8" s="205">
        <f t="shared" ca="1" si="1"/>
        <v>4957920</v>
      </c>
      <c r="J8" s="205">
        <f t="shared" ca="1" si="2"/>
        <v>4957920</v>
      </c>
      <c r="K8" s="205">
        <f t="shared" ca="1" si="3"/>
        <v>4957920</v>
      </c>
      <c r="L8" s="205">
        <f t="shared" ca="1" si="4"/>
        <v>4957920</v>
      </c>
      <c r="M8" s="205">
        <f t="shared" ca="1" si="5"/>
        <v>4957920</v>
      </c>
      <c r="N8" s="205">
        <f t="shared" ca="1" si="6"/>
        <v>4957920</v>
      </c>
      <c r="O8" s="205">
        <f t="shared" ca="1" si="7"/>
        <v>4957920</v>
      </c>
      <c r="P8" s="205">
        <f t="shared" ca="1" si="72"/>
        <v>4957920</v>
      </c>
      <c r="Q8" s="205">
        <f t="shared" ca="1" si="8"/>
        <v>4957920</v>
      </c>
      <c r="R8" s="205">
        <f t="shared" ca="1" si="9"/>
        <v>4957920</v>
      </c>
      <c r="S8" s="205">
        <f t="shared" ca="1" si="10"/>
        <v>4957920</v>
      </c>
      <c r="T8" s="205">
        <f t="shared" ca="1" si="11"/>
        <v>4957920</v>
      </c>
      <c r="U8" s="205">
        <f t="shared" ca="1" si="12"/>
        <v>4957920</v>
      </c>
      <c r="V8" s="205">
        <f t="shared" ca="1" si="13"/>
        <v>4957920</v>
      </c>
      <c r="W8" s="205">
        <f t="shared" ca="1" si="14"/>
        <v>4957920</v>
      </c>
      <c r="X8" s="205">
        <f t="shared" ca="1" si="15"/>
        <v>4957920</v>
      </c>
      <c r="Y8" s="205">
        <f t="shared" ca="1" si="16"/>
        <v>4957920</v>
      </c>
      <c r="Z8" s="205">
        <f t="shared" ca="1" si="17"/>
        <v>4957920</v>
      </c>
      <c r="AA8" s="205">
        <f t="shared" ca="1" si="18"/>
        <v>170221920</v>
      </c>
      <c r="AB8" s="205" t="str">
        <f t="shared" ca="1" si="19"/>
        <v/>
      </c>
      <c r="AC8" s="205" t="str">
        <f t="shared" ca="1" si="20"/>
        <v/>
      </c>
      <c r="AD8" s="205" t="str">
        <f t="shared" ca="1" si="21"/>
        <v/>
      </c>
      <c r="AE8" s="205" t="str">
        <f t="shared" ca="1" si="22"/>
        <v/>
      </c>
      <c r="AF8" s="205" t="str">
        <f t="shared" ca="1" si="23"/>
        <v/>
      </c>
      <c r="AG8" s="205" t="str">
        <f t="shared" ca="1" si="24"/>
        <v/>
      </c>
      <c r="AH8" s="205" t="str">
        <f t="shared" ca="1" si="25"/>
        <v/>
      </c>
      <c r="AI8" s="205" t="str">
        <f t="shared" ca="1" si="26"/>
        <v/>
      </c>
      <c r="AJ8" s="205" t="str">
        <f t="shared" ca="1" si="27"/>
        <v/>
      </c>
      <c r="AK8" s="205" t="str">
        <f t="shared" ca="1" si="28"/>
        <v/>
      </c>
      <c r="AL8" s="205" t="str">
        <f t="shared" ca="1" si="29"/>
        <v/>
      </c>
      <c r="AM8" s="205" t="str">
        <f t="shared" ca="1" si="30"/>
        <v/>
      </c>
      <c r="AN8" s="205" t="str">
        <f t="shared" ca="1" si="31"/>
        <v/>
      </c>
      <c r="AO8" s="205" t="str">
        <f t="shared" ca="1" si="32"/>
        <v/>
      </c>
      <c r="AP8" s="205" t="str">
        <f t="shared" ca="1" si="33"/>
        <v/>
      </c>
      <c r="AQ8" s="205" t="str">
        <f t="shared" ca="1" si="34"/>
        <v/>
      </c>
      <c r="AR8" s="205" t="str">
        <f t="shared" ca="1" si="35"/>
        <v/>
      </c>
      <c r="AS8" s="205" t="str">
        <f t="shared" ca="1" si="36"/>
        <v/>
      </c>
      <c r="AT8" s="205" t="str">
        <f t="shared" ca="1" si="37"/>
        <v/>
      </c>
      <c r="AU8" s="205" t="str">
        <f t="shared" ca="1" si="38"/>
        <v/>
      </c>
      <c r="AV8" s="205" t="str">
        <f t="shared" ca="1" si="39"/>
        <v/>
      </c>
      <c r="AW8" s="205" t="str">
        <f t="shared" ca="1" si="40"/>
        <v/>
      </c>
      <c r="AX8" s="205" t="str">
        <f t="shared" ca="1" si="41"/>
        <v/>
      </c>
      <c r="AY8" s="205" t="str">
        <f t="shared" ca="1" si="42"/>
        <v/>
      </c>
      <c r="AZ8" s="205" t="str">
        <f t="shared" ca="1" si="43"/>
        <v/>
      </c>
      <c r="BA8" s="205" t="str">
        <f t="shared" ca="1" si="44"/>
        <v/>
      </c>
      <c r="BB8" s="205" t="str">
        <f t="shared" ca="1" si="45"/>
        <v/>
      </c>
      <c r="BC8" s="205" t="str">
        <f t="shared" ca="1" si="46"/>
        <v/>
      </c>
      <c r="BD8" s="205" t="str">
        <f t="shared" ca="1" si="47"/>
        <v/>
      </c>
      <c r="BE8" s="205" t="str">
        <f t="shared" ca="1" si="48"/>
        <v/>
      </c>
      <c r="BF8" s="205" t="str">
        <f t="shared" ca="1" si="49"/>
        <v/>
      </c>
      <c r="BG8" s="205" t="str">
        <f t="shared" ca="1" si="50"/>
        <v/>
      </c>
      <c r="BH8" s="205" t="str">
        <f t="shared" ca="1" si="51"/>
        <v/>
      </c>
      <c r="BI8" s="205" t="str">
        <f t="shared" ca="1" si="52"/>
        <v/>
      </c>
      <c r="BJ8" s="205" t="str">
        <f t="shared" ca="1" si="53"/>
        <v/>
      </c>
      <c r="BK8" s="205" t="str">
        <f t="shared" ca="1" si="54"/>
        <v/>
      </c>
      <c r="BL8" s="205" t="str">
        <f t="shared" ca="1" si="55"/>
        <v/>
      </c>
      <c r="BM8" s="205" t="str">
        <f t="shared" ca="1" si="56"/>
        <v/>
      </c>
      <c r="BN8" s="205" t="str">
        <f t="shared" ca="1" si="57"/>
        <v/>
      </c>
      <c r="BO8" s="205" t="str">
        <f t="shared" ca="1" si="58"/>
        <v/>
      </c>
      <c r="BP8" s="205" t="str">
        <f t="shared" ca="1" si="59"/>
        <v/>
      </c>
      <c r="BQ8" s="205" t="str">
        <f t="shared" ca="1" si="60"/>
        <v/>
      </c>
      <c r="BR8" s="205" t="str">
        <f t="shared" ca="1" si="61"/>
        <v/>
      </c>
      <c r="BS8" s="205" t="str">
        <f t="shared" ca="1" si="62"/>
        <v/>
      </c>
      <c r="BT8" s="205" t="str">
        <f t="shared" ca="1" si="63"/>
        <v/>
      </c>
      <c r="BU8" s="205" t="str">
        <f t="shared" ca="1" si="64"/>
        <v/>
      </c>
      <c r="BV8" s="205" t="str">
        <f t="shared" ca="1" si="65"/>
        <v/>
      </c>
      <c r="BW8" s="205" t="str">
        <f t="shared" ca="1" si="66"/>
        <v/>
      </c>
      <c r="BX8" s="205" t="str">
        <f t="shared" ca="1" si="67"/>
        <v/>
      </c>
      <c r="BY8" s="205" t="str">
        <f t="shared" ca="1" si="68"/>
        <v/>
      </c>
      <c r="BZ8" s="205" t="str">
        <f t="shared" ca="1" si="69"/>
        <v/>
      </c>
      <c r="CA8" s="205" t="str">
        <f t="shared" ca="1" si="70"/>
        <v/>
      </c>
    </row>
    <row r="9" spans="1:79">
      <c r="A9" s="181" t="s">
        <v>127</v>
      </c>
      <c r="B9" s="214" t="str">
        <f ca="1">OFFSET(bd_bonos!$A$1,MATCH(bs_flujo!$A9,bd_bonos!$A:$A,0)-1,11)</f>
        <v>12/02/2029</v>
      </c>
      <c r="C9" s="181">
        <f t="shared" ca="1" si="71"/>
        <v>2029</v>
      </c>
      <c r="D9" s="181" t="s">
        <v>568</v>
      </c>
      <c r="E9" s="204">
        <f ca="1">OFFSET(bd_bonos!$A$1,MATCH(bs_flujo!$A9,bd_bonos!$A:$A,0)-1,4)</f>
        <v>5.94</v>
      </c>
      <c r="F9" s="181" t="s">
        <v>569</v>
      </c>
      <c r="G9" s="205">
        <f ca="1">OFFSET(bd_bonos!$A$1,MATCH(bs_flujo!$A9,bd_bonos!$A:$A,0)-1,33)/1000</f>
        <v>12025000</v>
      </c>
      <c r="H9" s="205">
        <f t="shared" ca="1" si="0"/>
        <v>357142500</v>
      </c>
      <c r="I9" s="205">
        <f t="shared" ca="1" si="1"/>
        <v>357142500</v>
      </c>
      <c r="J9" s="205">
        <f t="shared" ca="1" si="2"/>
        <v>357142500</v>
      </c>
      <c r="K9" s="205">
        <f t="shared" ca="1" si="3"/>
        <v>357142500</v>
      </c>
      <c r="L9" s="205">
        <f t="shared" ca="1" si="4"/>
        <v>357142500</v>
      </c>
      <c r="M9" s="205">
        <f t="shared" ca="1" si="5"/>
        <v>357142500</v>
      </c>
      <c r="N9" s="205">
        <f t="shared" ca="1" si="6"/>
        <v>357142500</v>
      </c>
      <c r="O9" s="205">
        <f t="shared" ca="1" si="7"/>
        <v>357142500</v>
      </c>
      <c r="P9" s="205">
        <f t="shared" ca="1" si="72"/>
        <v>357142500</v>
      </c>
      <c r="Q9" s="205">
        <f t="shared" ca="1" si="8"/>
        <v>357142500</v>
      </c>
      <c r="R9" s="205">
        <f t="shared" ca="1" si="9"/>
        <v>357142500</v>
      </c>
      <c r="S9" s="205">
        <f t="shared" ca="1" si="10"/>
        <v>357142500</v>
      </c>
      <c r="T9" s="205">
        <f t="shared" ca="1" si="11"/>
        <v>357142500</v>
      </c>
      <c r="U9" s="205">
        <f t="shared" ca="1" si="12"/>
        <v>357142500</v>
      </c>
      <c r="V9" s="205">
        <f t="shared" ca="1" si="13"/>
        <v>357142500</v>
      </c>
      <c r="W9" s="205">
        <f t="shared" ca="1" si="14"/>
        <v>357142500</v>
      </c>
      <c r="X9" s="205">
        <f t="shared" ca="1" si="15"/>
        <v>357142500</v>
      </c>
      <c r="Y9" s="205">
        <f t="shared" ca="1" si="16"/>
        <v>357142500</v>
      </c>
      <c r="Z9" s="205">
        <f t="shared" ca="1" si="17"/>
        <v>357142500</v>
      </c>
      <c r="AA9" s="205">
        <f t="shared" ca="1" si="18"/>
        <v>12382142500</v>
      </c>
      <c r="AB9" s="205" t="str">
        <f t="shared" ca="1" si="19"/>
        <v/>
      </c>
      <c r="AC9" s="205" t="str">
        <f t="shared" ca="1" si="20"/>
        <v/>
      </c>
      <c r="AD9" s="205" t="str">
        <f t="shared" ca="1" si="21"/>
        <v/>
      </c>
      <c r="AE9" s="205" t="str">
        <f t="shared" ca="1" si="22"/>
        <v/>
      </c>
      <c r="AF9" s="205" t="str">
        <f t="shared" ca="1" si="23"/>
        <v/>
      </c>
      <c r="AG9" s="205" t="str">
        <f t="shared" ca="1" si="24"/>
        <v/>
      </c>
      <c r="AH9" s="205" t="str">
        <f t="shared" ca="1" si="25"/>
        <v/>
      </c>
      <c r="AI9" s="205" t="str">
        <f t="shared" ca="1" si="26"/>
        <v/>
      </c>
      <c r="AJ9" s="205" t="str">
        <f t="shared" ca="1" si="27"/>
        <v/>
      </c>
      <c r="AK9" s="205" t="str">
        <f t="shared" ca="1" si="28"/>
        <v/>
      </c>
      <c r="AL9" s="205" t="str">
        <f t="shared" ca="1" si="29"/>
        <v/>
      </c>
      <c r="AM9" s="205" t="str">
        <f t="shared" ca="1" si="30"/>
        <v/>
      </c>
      <c r="AN9" s="205" t="str">
        <f t="shared" ca="1" si="31"/>
        <v/>
      </c>
      <c r="AO9" s="205" t="str">
        <f t="shared" ca="1" si="32"/>
        <v/>
      </c>
      <c r="AP9" s="205" t="str">
        <f t="shared" ca="1" si="33"/>
        <v/>
      </c>
      <c r="AQ9" s="205" t="str">
        <f t="shared" ca="1" si="34"/>
        <v/>
      </c>
      <c r="AR9" s="205" t="str">
        <f t="shared" ca="1" si="35"/>
        <v/>
      </c>
      <c r="AS9" s="205" t="str">
        <f t="shared" ca="1" si="36"/>
        <v/>
      </c>
      <c r="AT9" s="205" t="str">
        <f t="shared" ca="1" si="37"/>
        <v/>
      </c>
      <c r="AU9" s="205" t="str">
        <f t="shared" ca="1" si="38"/>
        <v/>
      </c>
      <c r="AV9" s="205" t="str">
        <f t="shared" ca="1" si="39"/>
        <v/>
      </c>
      <c r="AW9" s="205" t="str">
        <f t="shared" ca="1" si="40"/>
        <v/>
      </c>
      <c r="AX9" s="205" t="str">
        <f t="shared" ca="1" si="41"/>
        <v/>
      </c>
      <c r="AY9" s="205" t="str">
        <f t="shared" ca="1" si="42"/>
        <v/>
      </c>
      <c r="AZ9" s="205" t="str">
        <f t="shared" ca="1" si="43"/>
        <v/>
      </c>
      <c r="BA9" s="205" t="str">
        <f t="shared" ca="1" si="44"/>
        <v/>
      </c>
      <c r="BB9" s="205" t="str">
        <f t="shared" ca="1" si="45"/>
        <v/>
      </c>
      <c r="BC9" s="205" t="str">
        <f t="shared" ca="1" si="46"/>
        <v/>
      </c>
      <c r="BD9" s="205" t="str">
        <f t="shared" ca="1" si="47"/>
        <v/>
      </c>
      <c r="BE9" s="205" t="str">
        <f t="shared" ca="1" si="48"/>
        <v/>
      </c>
      <c r="BF9" s="205" t="str">
        <f t="shared" ca="1" si="49"/>
        <v/>
      </c>
      <c r="BG9" s="205" t="str">
        <f t="shared" ca="1" si="50"/>
        <v/>
      </c>
      <c r="BH9" s="205" t="str">
        <f t="shared" ca="1" si="51"/>
        <v/>
      </c>
      <c r="BI9" s="205" t="str">
        <f t="shared" ca="1" si="52"/>
        <v/>
      </c>
      <c r="BJ9" s="205" t="str">
        <f t="shared" ca="1" si="53"/>
        <v/>
      </c>
      <c r="BK9" s="205" t="str">
        <f t="shared" ca="1" si="54"/>
        <v/>
      </c>
      <c r="BL9" s="205" t="str">
        <f t="shared" ca="1" si="55"/>
        <v/>
      </c>
      <c r="BM9" s="205" t="str">
        <f t="shared" ca="1" si="56"/>
        <v/>
      </c>
      <c r="BN9" s="205" t="str">
        <f t="shared" ca="1" si="57"/>
        <v/>
      </c>
      <c r="BO9" s="205" t="str">
        <f t="shared" ca="1" si="58"/>
        <v/>
      </c>
      <c r="BP9" s="205" t="str">
        <f t="shared" ca="1" si="59"/>
        <v/>
      </c>
      <c r="BQ9" s="205" t="str">
        <f t="shared" ca="1" si="60"/>
        <v/>
      </c>
      <c r="BR9" s="205" t="str">
        <f t="shared" ca="1" si="61"/>
        <v/>
      </c>
      <c r="BS9" s="205" t="str">
        <f t="shared" ca="1" si="62"/>
        <v/>
      </c>
      <c r="BT9" s="205" t="str">
        <f t="shared" ca="1" si="63"/>
        <v/>
      </c>
      <c r="BU9" s="205" t="str">
        <f t="shared" ca="1" si="64"/>
        <v/>
      </c>
      <c r="BV9" s="205" t="str">
        <f t="shared" ca="1" si="65"/>
        <v/>
      </c>
      <c r="BW9" s="205" t="str">
        <f t="shared" ca="1" si="66"/>
        <v/>
      </c>
      <c r="BX9" s="205" t="str">
        <f t="shared" ca="1" si="67"/>
        <v/>
      </c>
      <c r="BY9" s="205" t="str">
        <f t="shared" ca="1" si="68"/>
        <v/>
      </c>
      <c r="BZ9" s="205" t="str">
        <f t="shared" ca="1" si="69"/>
        <v/>
      </c>
      <c r="CA9" s="205" t="str">
        <f t="shared" ca="1" si="70"/>
        <v/>
      </c>
    </row>
    <row r="10" spans="1:79">
      <c r="A10" s="181" t="s">
        <v>122</v>
      </c>
      <c r="B10" s="214" t="str">
        <f ca="1">OFFSET(bd_bonos!$A$1,MATCH(bs_flujo!$A10,bd_bonos!$A:$A,0)-1,11)</f>
        <v>12/08/2031</v>
      </c>
      <c r="C10" s="181">
        <f t="shared" ca="1" si="71"/>
        <v>2031</v>
      </c>
      <c r="D10" s="181" t="s">
        <v>568</v>
      </c>
      <c r="E10" s="204">
        <f ca="1">OFFSET(bd_bonos!$A$1,MATCH(bs_flujo!$A10,bd_bonos!$A:$A,0)-1,4)</f>
        <v>6.95</v>
      </c>
      <c r="F10" s="181" t="s">
        <v>569</v>
      </c>
      <c r="G10" s="205">
        <f ca="1">OFFSET(bd_bonos!$A$1,MATCH(bs_flujo!$A10,bd_bonos!$A:$A,0)-1,33)/1000</f>
        <v>14292244</v>
      </c>
      <c r="H10" s="205">
        <f t="shared" ca="1" si="0"/>
        <v>496655479</v>
      </c>
      <c r="I10" s="205">
        <f t="shared" ca="1" si="1"/>
        <v>496655479</v>
      </c>
      <c r="J10" s="205">
        <f t="shared" ca="1" si="2"/>
        <v>496655479</v>
      </c>
      <c r="K10" s="205">
        <f t="shared" ca="1" si="3"/>
        <v>496655479</v>
      </c>
      <c r="L10" s="205">
        <f t="shared" ca="1" si="4"/>
        <v>496655479</v>
      </c>
      <c r="M10" s="205">
        <f t="shared" ca="1" si="5"/>
        <v>496655479</v>
      </c>
      <c r="N10" s="205">
        <f t="shared" ca="1" si="6"/>
        <v>496655479</v>
      </c>
      <c r="O10" s="205">
        <f t="shared" ca="1" si="7"/>
        <v>496655479</v>
      </c>
      <c r="P10" s="205">
        <f t="shared" ca="1" si="72"/>
        <v>496655479</v>
      </c>
      <c r="Q10" s="205">
        <f t="shared" ca="1" si="8"/>
        <v>496655479</v>
      </c>
      <c r="R10" s="205">
        <f t="shared" ca="1" si="9"/>
        <v>496655479</v>
      </c>
      <c r="S10" s="205">
        <f t="shared" ca="1" si="10"/>
        <v>496655479</v>
      </c>
      <c r="T10" s="205">
        <f t="shared" ca="1" si="11"/>
        <v>496655479</v>
      </c>
      <c r="U10" s="205">
        <f t="shared" ca="1" si="12"/>
        <v>496655479</v>
      </c>
      <c r="V10" s="205">
        <f t="shared" ca="1" si="13"/>
        <v>496655479</v>
      </c>
      <c r="W10" s="205">
        <f t="shared" ca="1" si="14"/>
        <v>496655479</v>
      </c>
      <c r="X10" s="205">
        <f t="shared" ca="1" si="15"/>
        <v>496655479</v>
      </c>
      <c r="Y10" s="205">
        <f t="shared" ca="1" si="16"/>
        <v>496655479</v>
      </c>
      <c r="Z10" s="205">
        <f t="shared" ca="1" si="17"/>
        <v>496655479</v>
      </c>
      <c r="AA10" s="205">
        <f t="shared" ca="1" si="18"/>
        <v>496655479</v>
      </c>
      <c r="AB10" s="205">
        <f t="shared" ca="1" si="19"/>
        <v>496655479</v>
      </c>
      <c r="AC10" s="205">
        <f t="shared" ca="1" si="20"/>
        <v>496655479</v>
      </c>
      <c r="AD10" s="205">
        <f t="shared" ca="1" si="21"/>
        <v>496655479</v>
      </c>
      <c r="AE10" s="205">
        <f t="shared" ca="1" si="22"/>
        <v>496655479</v>
      </c>
      <c r="AF10" s="205">
        <f t="shared" ca="1" si="23"/>
        <v>14788899479</v>
      </c>
      <c r="AG10" s="205" t="str">
        <f t="shared" ca="1" si="24"/>
        <v/>
      </c>
      <c r="AH10" s="205" t="str">
        <f t="shared" ca="1" si="25"/>
        <v/>
      </c>
      <c r="AI10" s="205" t="str">
        <f t="shared" ca="1" si="26"/>
        <v/>
      </c>
      <c r="AJ10" s="205" t="str">
        <f t="shared" ca="1" si="27"/>
        <v/>
      </c>
      <c r="AK10" s="205" t="str">
        <f t="shared" ca="1" si="28"/>
        <v/>
      </c>
      <c r="AL10" s="205" t="str">
        <f t="shared" ca="1" si="29"/>
        <v/>
      </c>
      <c r="AM10" s="205" t="str">
        <f t="shared" ca="1" si="30"/>
        <v/>
      </c>
      <c r="AN10" s="205" t="str">
        <f t="shared" ca="1" si="31"/>
        <v/>
      </c>
      <c r="AO10" s="205" t="str">
        <f t="shared" ca="1" si="32"/>
        <v/>
      </c>
      <c r="AP10" s="205" t="str">
        <f t="shared" ca="1" si="33"/>
        <v/>
      </c>
      <c r="AQ10" s="205" t="str">
        <f t="shared" ca="1" si="34"/>
        <v/>
      </c>
      <c r="AR10" s="205" t="str">
        <f t="shared" ca="1" si="35"/>
        <v/>
      </c>
      <c r="AS10" s="205" t="str">
        <f t="shared" ca="1" si="36"/>
        <v/>
      </c>
      <c r="AT10" s="205" t="str">
        <f t="shared" ca="1" si="37"/>
        <v/>
      </c>
      <c r="AU10" s="205" t="str">
        <f t="shared" ca="1" si="38"/>
        <v/>
      </c>
      <c r="AV10" s="205" t="str">
        <f t="shared" ca="1" si="39"/>
        <v/>
      </c>
      <c r="AW10" s="205" t="str">
        <f t="shared" ca="1" si="40"/>
        <v/>
      </c>
      <c r="AX10" s="205" t="str">
        <f t="shared" ca="1" si="41"/>
        <v/>
      </c>
      <c r="AY10" s="205" t="str">
        <f t="shared" ca="1" si="42"/>
        <v/>
      </c>
      <c r="AZ10" s="205" t="str">
        <f t="shared" ca="1" si="43"/>
        <v/>
      </c>
      <c r="BA10" s="205" t="str">
        <f t="shared" ca="1" si="44"/>
        <v/>
      </c>
      <c r="BB10" s="205" t="str">
        <f t="shared" ca="1" si="45"/>
        <v/>
      </c>
      <c r="BC10" s="205" t="str">
        <f t="shared" ca="1" si="46"/>
        <v/>
      </c>
      <c r="BD10" s="205" t="str">
        <f t="shared" ca="1" si="47"/>
        <v/>
      </c>
      <c r="BE10" s="205" t="str">
        <f t="shared" ca="1" si="48"/>
        <v/>
      </c>
      <c r="BF10" s="205" t="str">
        <f t="shared" ca="1" si="49"/>
        <v/>
      </c>
      <c r="BG10" s="205" t="str">
        <f t="shared" ca="1" si="50"/>
        <v/>
      </c>
      <c r="BH10" s="205" t="str">
        <f t="shared" ca="1" si="51"/>
        <v/>
      </c>
      <c r="BI10" s="205" t="str">
        <f t="shared" ca="1" si="52"/>
        <v/>
      </c>
      <c r="BJ10" s="205" t="str">
        <f t="shared" ca="1" si="53"/>
        <v/>
      </c>
      <c r="BK10" s="205" t="str">
        <f t="shared" ca="1" si="54"/>
        <v/>
      </c>
      <c r="BL10" s="205" t="str">
        <f t="shared" ca="1" si="55"/>
        <v/>
      </c>
      <c r="BM10" s="205" t="str">
        <f t="shared" ca="1" si="56"/>
        <v/>
      </c>
      <c r="BN10" s="205" t="str">
        <f t="shared" ca="1" si="57"/>
        <v/>
      </c>
      <c r="BO10" s="205" t="str">
        <f t="shared" ca="1" si="58"/>
        <v/>
      </c>
      <c r="BP10" s="205" t="str">
        <f t="shared" ca="1" si="59"/>
        <v/>
      </c>
      <c r="BQ10" s="205" t="str">
        <f t="shared" ca="1" si="60"/>
        <v/>
      </c>
      <c r="BR10" s="205" t="str">
        <f t="shared" ca="1" si="61"/>
        <v/>
      </c>
      <c r="BS10" s="205" t="str">
        <f t="shared" ca="1" si="62"/>
        <v/>
      </c>
      <c r="BT10" s="205" t="str">
        <f t="shared" ca="1" si="63"/>
        <v/>
      </c>
      <c r="BU10" s="205" t="str">
        <f t="shared" ca="1" si="64"/>
        <v/>
      </c>
      <c r="BV10" s="205" t="str">
        <f t="shared" ca="1" si="65"/>
        <v/>
      </c>
      <c r="BW10" s="205" t="str">
        <f t="shared" ca="1" si="66"/>
        <v/>
      </c>
      <c r="BX10" s="205" t="str">
        <f t="shared" ca="1" si="67"/>
        <v/>
      </c>
      <c r="BY10" s="205" t="str">
        <f t="shared" ca="1" si="68"/>
        <v/>
      </c>
      <c r="BZ10" s="205" t="str">
        <f t="shared" ca="1" si="69"/>
        <v/>
      </c>
      <c r="CA10" s="205" t="str">
        <f t="shared" ca="1" si="70"/>
        <v/>
      </c>
    </row>
    <row r="11" spans="1:79">
      <c r="A11" s="181" t="s">
        <v>123</v>
      </c>
      <c r="B11" s="214" t="str">
        <f ca="1">OFFSET(bd_bonos!$A$1,MATCH(bs_flujo!$A11,bd_bonos!$A:$A,0)-1,11)</f>
        <v>12/08/2032</v>
      </c>
      <c r="C11" s="181">
        <f t="shared" ca="1" si="71"/>
        <v>2032</v>
      </c>
      <c r="D11" s="181" t="s">
        <v>568</v>
      </c>
      <c r="E11" s="204">
        <f ca="1">OFFSET(bd_bonos!$A$1,MATCH(bs_flujo!$A11,bd_bonos!$A:$A,0)-1,4)</f>
        <v>6.15</v>
      </c>
      <c r="F11" s="181" t="s">
        <v>569</v>
      </c>
      <c r="G11" s="205">
        <f ca="1">OFFSET(bd_bonos!$A$1,MATCH(bs_flujo!$A11,bd_bonos!$A:$A,0)-1,33)/1000</f>
        <v>13113207</v>
      </c>
      <c r="H11" s="205">
        <f t="shared" ca="1" si="0"/>
        <v>403231115.25000006</v>
      </c>
      <c r="I11" s="205">
        <f t="shared" ca="1" si="1"/>
        <v>403231115.25000006</v>
      </c>
      <c r="J11" s="205">
        <f t="shared" ca="1" si="2"/>
        <v>403231115.25000006</v>
      </c>
      <c r="K11" s="205">
        <f t="shared" ca="1" si="3"/>
        <v>403231115.25000006</v>
      </c>
      <c r="L11" s="205">
        <f t="shared" ca="1" si="4"/>
        <v>403231115.25000006</v>
      </c>
      <c r="M11" s="205">
        <f t="shared" ca="1" si="5"/>
        <v>403231115.25000006</v>
      </c>
      <c r="N11" s="205">
        <f t="shared" ca="1" si="6"/>
        <v>403231115.25000006</v>
      </c>
      <c r="O11" s="205">
        <f t="shared" ca="1" si="7"/>
        <v>403231115.25000006</v>
      </c>
      <c r="P11" s="205">
        <f t="shared" ca="1" si="72"/>
        <v>403231115.25000006</v>
      </c>
      <c r="Q11" s="205">
        <f t="shared" ca="1" si="8"/>
        <v>403231115.25000006</v>
      </c>
      <c r="R11" s="205">
        <f t="shared" ca="1" si="9"/>
        <v>403231115.25000006</v>
      </c>
      <c r="S11" s="205">
        <f t="shared" ca="1" si="10"/>
        <v>403231115.25000006</v>
      </c>
      <c r="T11" s="205">
        <f t="shared" ca="1" si="11"/>
        <v>403231115.25000006</v>
      </c>
      <c r="U11" s="205">
        <f t="shared" ca="1" si="12"/>
        <v>403231115.25000006</v>
      </c>
      <c r="V11" s="205">
        <f t="shared" ca="1" si="13"/>
        <v>403231115.25000006</v>
      </c>
      <c r="W11" s="205">
        <f t="shared" ca="1" si="14"/>
        <v>403231115.25000006</v>
      </c>
      <c r="X11" s="205">
        <f t="shared" ca="1" si="15"/>
        <v>403231115.25000006</v>
      </c>
      <c r="Y11" s="205">
        <f t="shared" ca="1" si="16"/>
        <v>403231115.25000006</v>
      </c>
      <c r="Z11" s="205">
        <f t="shared" ca="1" si="17"/>
        <v>403231115.25000006</v>
      </c>
      <c r="AA11" s="205">
        <f t="shared" ca="1" si="18"/>
        <v>403231115.25000006</v>
      </c>
      <c r="AB11" s="205">
        <f t="shared" ca="1" si="19"/>
        <v>403231115.25000006</v>
      </c>
      <c r="AC11" s="205">
        <f t="shared" ca="1" si="20"/>
        <v>403231115.25000006</v>
      </c>
      <c r="AD11" s="205">
        <f t="shared" ca="1" si="21"/>
        <v>403231115.25000006</v>
      </c>
      <c r="AE11" s="205">
        <f t="shared" ca="1" si="22"/>
        <v>403231115.25000006</v>
      </c>
      <c r="AF11" s="205">
        <f t="shared" ca="1" si="23"/>
        <v>403231115.25000006</v>
      </c>
      <c r="AG11" s="205">
        <f t="shared" ca="1" si="24"/>
        <v>403231115.25000006</v>
      </c>
      <c r="AH11" s="205">
        <f t="shared" ca="1" si="25"/>
        <v>13516438115.25</v>
      </c>
      <c r="AI11" s="205" t="str">
        <f t="shared" ca="1" si="26"/>
        <v/>
      </c>
      <c r="AJ11" s="205" t="str">
        <f t="shared" ca="1" si="27"/>
        <v/>
      </c>
      <c r="AK11" s="205" t="str">
        <f t="shared" ca="1" si="28"/>
        <v/>
      </c>
      <c r="AL11" s="205" t="str">
        <f t="shared" ca="1" si="29"/>
        <v/>
      </c>
      <c r="AM11" s="205" t="str">
        <f t="shared" ca="1" si="30"/>
        <v/>
      </c>
      <c r="AN11" s="205" t="str">
        <f t="shared" ca="1" si="31"/>
        <v/>
      </c>
      <c r="AO11" s="205" t="str">
        <f t="shared" ca="1" si="32"/>
        <v/>
      </c>
      <c r="AP11" s="205" t="str">
        <f t="shared" ca="1" si="33"/>
        <v/>
      </c>
      <c r="AQ11" s="205" t="str">
        <f t="shared" ca="1" si="34"/>
        <v/>
      </c>
      <c r="AR11" s="205" t="str">
        <f t="shared" ca="1" si="35"/>
        <v/>
      </c>
      <c r="AS11" s="205" t="str">
        <f t="shared" ca="1" si="36"/>
        <v/>
      </c>
      <c r="AT11" s="205" t="str">
        <f t="shared" ca="1" si="37"/>
        <v/>
      </c>
      <c r="AU11" s="205" t="str">
        <f t="shared" ca="1" si="38"/>
        <v/>
      </c>
      <c r="AV11" s="205" t="str">
        <f t="shared" ca="1" si="39"/>
        <v/>
      </c>
      <c r="AW11" s="205" t="str">
        <f t="shared" ca="1" si="40"/>
        <v/>
      </c>
      <c r="AX11" s="205" t="str">
        <f t="shared" ca="1" si="41"/>
        <v/>
      </c>
      <c r="AY11" s="205" t="str">
        <f t="shared" ca="1" si="42"/>
        <v/>
      </c>
      <c r="AZ11" s="205" t="str">
        <f t="shared" ca="1" si="43"/>
        <v/>
      </c>
      <c r="BA11" s="205" t="str">
        <f t="shared" ca="1" si="44"/>
        <v/>
      </c>
      <c r="BB11" s="205" t="str">
        <f t="shared" ca="1" si="45"/>
        <v/>
      </c>
      <c r="BC11" s="205" t="str">
        <f t="shared" ca="1" si="46"/>
        <v/>
      </c>
      <c r="BD11" s="205" t="str">
        <f t="shared" ca="1" si="47"/>
        <v/>
      </c>
      <c r="BE11" s="205" t="str">
        <f t="shared" ca="1" si="48"/>
        <v/>
      </c>
      <c r="BF11" s="205" t="str">
        <f t="shared" ca="1" si="49"/>
        <v/>
      </c>
      <c r="BG11" s="205" t="str">
        <f t="shared" ca="1" si="50"/>
        <v/>
      </c>
      <c r="BH11" s="205" t="str">
        <f t="shared" ca="1" si="51"/>
        <v/>
      </c>
      <c r="BI11" s="205" t="str">
        <f t="shared" ca="1" si="52"/>
        <v/>
      </c>
      <c r="BJ11" s="205" t="str">
        <f t="shared" ca="1" si="53"/>
        <v/>
      </c>
      <c r="BK11" s="205" t="str">
        <f t="shared" ca="1" si="54"/>
        <v/>
      </c>
      <c r="BL11" s="205" t="str">
        <f t="shared" ca="1" si="55"/>
        <v/>
      </c>
      <c r="BM11" s="205" t="str">
        <f t="shared" ca="1" si="56"/>
        <v/>
      </c>
      <c r="BN11" s="205" t="str">
        <f t="shared" ca="1" si="57"/>
        <v/>
      </c>
      <c r="BO11" s="205" t="str">
        <f t="shared" ca="1" si="58"/>
        <v/>
      </c>
      <c r="BP11" s="205" t="str">
        <f t="shared" ca="1" si="59"/>
        <v/>
      </c>
      <c r="BQ11" s="205" t="str">
        <f t="shared" ca="1" si="60"/>
        <v/>
      </c>
      <c r="BR11" s="205" t="str">
        <f t="shared" ca="1" si="61"/>
        <v/>
      </c>
      <c r="BS11" s="205" t="str">
        <f t="shared" ca="1" si="62"/>
        <v/>
      </c>
      <c r="BT11" s="205" t="str">
        <f t="shared" ca="1" si="63"/>
        <v/>
      </c>
      <c r="BU11" s="205" t="str">
        <f t="shared" ca="1" si="64"/>
        <v/>
      </c>
      <c r="BV11" s="205" t="str">
        <f t="shared" ca="1" si="65"/>
        <v/>
      </c>
      <c r="BW11" s="205" t="str">
        <f t="shared" ca="1" si="66"/>
        <v/>
      </c>
      <c r="BX11" s="205" t="str">
        <f t="shared" ca="1" si="67"/>
        <v/>
      </c>
      <c r="BY11" s="205" t="str">
        <f t="shared" ca="1" si="68"/>
        <v/>
      </c>
      <c r="BZ11" s="205" t="str">
        <f t="shared" ca="1" si="69"/>
        <v/>
      </c>
      <c r="CA11" s="205" t="str">
        <f t="shared" ca="1" si="70"/>
        <v/>
      </c>
    </row>
    <row r="12" spans="1:79">
      <c r="A12" s="181" t="s">
        <v>124</v>
      </c>
      <c r="B12" s="214" t="str">
        <f ca="1">OFFSET(bd_bonos!$A$1,MATCH(bs_flujo!$A12,bd_bonos!$A:$A,0)-1,11)</f>
        <v>12/08/2037</v>
      </c>
      <c r="C12" s="181">
        <f t="shared" ca="1" si="71"/>
        <v>2037</v>
      </c>
      <c r="D12" s="181" t="s">
        <v>568</v>
      </c>
      <c r="E12" s="204">
        <f ca="1">OFFSET(bd_bonos!$A$1,MATCH(bs_flujo!$A12,bd_bonos!$A:$A,0)-1,4)</f>
        <v>6.9</v>
      </c>
      <c r="F12" s="181" t="s">
        <v>569</v>
      </c>
      <c r="G12" s="205">
        <f ca="1">OFFSET(bd_bonos!$A$1,MATCH(bs_flujo!$A12,bd_bonos!$A:$A,0)-1,33)/1000</f>
        <v>11665414</v>
      </c>
      <c r="H12" s="205">
        <f t="shared" ca="1" si="0"/>
        <v>402456783</v>
      </c>
      <c r="I12" s="205">
        <f t="shared" ca="1" si="1"/>
        <v>402456783</v>
      </c>
      <c r="J12" s="205">
        <f t="shared" ca="1" si="2"/>
        <v>402456783</v>
      </c>
      <c r="K12" s="205">
        <f t="shared" ca="1" si="3"/>
        <v>402456783</v>
      </c>
      <c r="L12" s="205">
        <f t="shared" ca="1" si="4"/>
        <v>402456783</v>
      </c>
      <c r="M12" s="205">
        <f t="shared" ca="1" si="5"/>
        <v>402456783</v>
      </c>
      <c r="N12" s="205">
        <f t="shared" ca="1" si="6"/>
        <v>402456783</v>
      </c>
      <c r="O12" s="205">
        <f t="shared" ca="1" si="7"/>
        <v>402456783</v>
      </c>
      <c r="P12" s="205">
        <f t="shared" ca="1" si="72"/>
        <v>402456783</v>
      </c>
      <c r="Q12" s="205">
        <f t="shared" ca="1" si="8"/>
        <v>402456783</v>
      </c>
      <c r="R12" s="205">
        <f t="shared" ca="1" si="9"/>
        <v>402456783</v>
      </c>
      <c r="S12" s="205">
        <f t="shared" ca="1" si="10"/>
        <v>402456783</v>
      </c>
      <c r="T12" s="205">
        <f t="shared" ca="1" si="11"/>
        <v>402456783</v>
      </c>
      <c r="U12" s="205">
        <f t="shared" ca="1" si="12"/>
        <v>402456783</v>
      </c>
      <c r="V12" s="205">
        <f t="shared" ca="1" si="13"/>
        <v>402456783</v>
      </c>
      <c r="W12" s="205">
        <f t="shared" ca="1" si="14"/>
        <v>402456783</v>
      </c>
      <c r="X12" s="205">
        <f t="shared" ca="1" si="15"/>
        <v>402456783</v>
      </c>
      <c r="Y12" s="205">
        <f t="shared" ca="1" si="16"/>
        <v>402456783</v>
      </c>
      <c r="Z12" s="205">
        <f t="shared" ca="1" si="17"/>
        <v>402456783</v>
      </c>
      <c r="AA12" s="205">
        <f t="shared" ca="1" si="18"/>
        <v>402456783</v>
      </c>
      <c r="AB12" s="205">
        <f t="shared" ca="1" si="19"/>
        <v>402456783</v>
      </c>
      <c r="AC12" s="205">
        <f t="shared" ca="1" si="20"/>
        <v>402456783</v>
      </c>
      <c r="AD12" s="205">
        <f t="shared" ca="1" si="21"/>
        <v>402456783</v>
      </c>
      <c r="AE12" s="205">
        <f t="shared" ca="1" si="22"/>
        <v>402456783</v>
      </c>
      <c r="AF12" s="205">
        <f t="shared" ca="1" si="23"/>
        <v>402456783</v>
      </c>
      <c r="AG12" s="205">
        <f t="shared" ca="1" si="24"/>
        <v>402456783</v>
      </c>
      <c r="AH12" s="205">
        <f t="shared" ca="1" si="25"/>
        <v>402456783</v>
      </c>
      <c r="AI12" s="205">
        <f t="shared" ca="1" si="26"/>
        <v>402456783</v>
      </c>
      <c r="AJ12" s="205">
        <f t="shared" ca="1" si="27"/>
        <v>402456783</v>
      </c>
      <c r="AK12" s="205">
        <f t="shared" ca="1" si="28"/>
        <v>402456783</v>
      </c>
      <c r="AL12" s="205">
        <f t="shared" ca="1" si="29"/>
        <v>402456783</v>
      </c>
      <c r="AM12" s="205">
        <f t="shared" ca="1" si="30"/>
        <v>402456783</v>
      </c>
      <c r="AN12" s="205">
        <f t="shared" ca="1" si="31"/>
        <v>402456783</v>
      </c>
      <c r="AO12" s="205">
        <f t="shared" ca="1" si="32"/>
        <v>402456783</v>
      </c>
      <c r="AP12" s="205">
        <f t="shared" ca="1" si="33"/>
        <v>402456783</v>
      </c>
      <c r="AQ12" s="205">
        <f t="shared" ca="1" si="34"/>
        <v>402456783</v>
      </c>
      <c r="AR12" s="205">
        <f t="shared" ca="1" si="35"/>
        <v>12067870783</v>
      </c>
      <c r="AS12" s="205" t="str">
        <f t="shared" ca="1" si="36"/>
        <v/>
      </c>
      <c r="AT12" s="205" t="str">
        <f t="shared" ca="1" si="37"/>
        <v/>
      </c>
      <c r="AU12" s="205" t="str">
        <f t="shared" ca="1" si="38"/>
        <v/>
      </c>
      <c r="AV12" s="205" t="str">
        <f t="shared" ca="1" si="39"/>
        <v/>
      </c>
      <c r="AW12" s="205" t="str">
        <f t="shared" ca="1" si="40"/>
        <v/>
      </c>
      <c r="AX12" s="205" t="str">
        <f t="shared" ca="1" si="41"/>
        <v/>
      </c>
      <c r="AY12" s="205" t="str">
        <f t="shared" ca="1" si="42"/>
        <v/>
      </c>
      <c r="AZ12" s="205" t="str">
        <f t="shared" ca="1" si="43"/>
        <v/>
      </c>
      <c r="BA12" s="205" t="str">
        <f t="shared" ca="1" si="44"/>
        <v/>
      </c>
      <c r="BB12" s="205" t="str">
        <f t="shared" ca="1" si="45"/>
        <v/>
      </c>
      <c r="BC12" s="205" t="str">
        <f t="shared" ca="1" si="46"/>
        <v/>
      </c>
      <c r="BD12" s="205" t="str">
        <f t="shared" ca="1" si="47"/>
        <v/>
      </c>
      <c r="BE12" s="205" t="str">
        <f t="shared" ca="1" si="48"/>
        <v/>
      </c>
      <c r="BF12" s="205" t="str">
        <f t="shared" ca="1" si="49"/>
        <v/>
      </c>
      <c r="BG12" s="205" t="str">
        <f t="shared" ca="1" si="50"/>
        <v/>
      </c>
      <c r="BH12" s="205" t="str">
        <f t="shared" ca="1" si="51"/>
        <v/>
      </c>
      <c r="BI12" s="205" t="str">
        <f t="shared" ca="1" si="52"/>
        <v/>
      </c>
      <c r="BJ12" s="205" t="str">
        <f t="shared" ca="1" si="53"/>
        <v/>
      </c>
      <c r="BK12" s="205" t="str">
        <f t="shared" ca="1" si="54"/>
        <v/>
      </c>
      <c r="BL12" s="205" t="str">
        <f t="shared" ca="1" si="55"/>
        <v/>
      </c>
      <c r="BM12" s="205" t="str">
        <f t="shared" ca="1" si="56"/>
        <v/>
      </c>
      <c r="BN12" s="205" t="str">
        <f t="shared" ca="1" si="57"/>
        <v/>
      </c>
      <c r="BO12" s="205" t="str">
        <f t="shared" ca="1" si="58"/>
        <v/>
      </c>
      <c r="BP12" s="205" t="str">
        <f t="shared" ca="1" si="59"/>
        <v/>
      </c>
      <c r="BQ12" s="205" t="str">
        <f t="shared" ca="1" si="60"/>
        <v/>
      </c>
      <c r="BR12" s="205" t="str">
        <f t="shared" ca="1" si="61"/>
        <v/>
      </c>
      <c r="BS12" s="205" t="str">
        <f t="shared" ca="1" si="62"/>
        <v/>
      </c>
      <c r="BT12" s="205" t="str">
        <f t="shared" ca="1" si="63"/>
        <v/>
      </c>
      <c r="BU12" s="205" t="str">
        <f t="shared" ca="1" si="64"/>
        <v/>
      </c>
      <c r="BV12" s="205" t="str">
        <f t="shared" ca="1" si="65"/>
        <v/>
      </c>
      <c r="BW12" s="205" t="str">
        <f t="shared" ca="1" si="66"/>
        <v/>
      </c>
      <c r="BX12" s="205" t="str">
        <f t="shared" ca="1" si="67"/>
        <v/>
      </c>
      <c r="BY12" s="205" t="str">
        <f t="shared" ca="1" si="68"/>
        <v/>
      </c>
      <c r="BZ12" s="205" t="str">
        <f t="shared" ca="1" si="69"/>
        <v/>
      </c>
      <c r="CA12" s="205" t="str">
        <f t="shared" ca="1" si="70"/>
        <v/>
      </c>
    </row>
    <row r="13" spans="1:79">
      <c r="A13" s="181" t="s">
        <v>125</v>
      </c>
      <c r="B13" s="214" t="str">
        <f ca="1">OFFSET(bd_bonos!$A$1,MATCH(bs_flujo!$A13,bd_bonos!$A:$A,0)-1,11)</f>
        <v>12/02/2042</v>
      </c>
      <c r="C13" s="181">
        <f t="shared" ca="1" si="71"/>
        <v>2042</v>
      </c>
      <c r="D13" s="181" t="s">
        <v>568</v>
      </c>
      <c r="E13" s="204">
        <f ca="1">OFFSET(bd_bonos!$A$1,MATCH(bs_flujo!$A13,bd_bonos!$A:$A,0)-1,4)</f>
        <v>6.85</v>
      </c>
      <c r="F13" s="181" t="s">
        <v>569</v>
      </c>
      <c r="G13" s="205">
        <f ca="1">OFFSET(bd_bonos!$A$1,MATCH(bs_flujo!$A13,bd_bonos!$A:$A,0)-1,33)/1000</f>
        <v>4443473</v>
      </c>
      <c r="H13" s="205">
        <f t="shared" ca="1" si="0"/>
        <v>152188950.24999997</v>
      </c>
      <c r="I13" s="205">
        <f t="shared" ca="1" si="1"/>
        <v>152188950.24999997</v>
      </c>
      <c r="J13" s="205">
        <f t="shared" ca="1" si="2"/>
        <v>152188950.24999997</v>
      </c>
      <c r="K13" s="205">
        <f t="shared" ca="1" si="3"/>
        <v>152188950.24999997</v>
      </c>
      <c r="L13" s="205">
        <f t="shared" ca="1" si="4"/>
        <v>152188950.24999997</v>
      </c>
      <c r="M13" s="205">
        <f t="shared" ca="1" si="5"/>
        <v>152188950.24999997</v>
      </c>
      <c r="N13" s="205">
        <f t="shared" ca="1" si="6"/>
        <v>152188950.24999997</v>
      </c>
      <c r="O13" s="205">
        <f t="shared" ca="1" si="7"/>
        <v>152188950.24999997</v>
      </c>
      <c r="P13" s="205">
        <f t="shared" ca="1" si="72"/>
        <v>152188950.24999997</v>
      </c>
      <c r="Q13" s="205">
        <f t="shared" ca="1" si="8"/>
        <v>152188950.24999997</v>
      </c>
      <c r="R13" s="205">
        <f t="shared" ca="1" si="9"/>
        <v>152188950.24999997</v>
      </c>
      <c r="S13" s="205">
        <f t="shared" ca="1" si="10"/>
        <v>152188950.24999997</v>
      </c>
      <c r="T13" s="205">
        <f t="shared" ca="1" si="11"/>
        <v>152188950.24999997</v>
      </c>
      <c r="U13" s="205">
        <f t="shared" ca="1" si="12"/>
        <v>152188950.24999997</v>
      </c>
      <c r="V13" s="205">
        <f t="shared" ca="1" si="13"/>
        <v>152188950.24999997</v>
      </c>
      <c r="W13" s="205">
        <f t="shared" ca="1" si="14"/>
        <v>152188950.24999997</v>
      </c>
      <c r="X13" s="205">
        <f t="shared" ca="1" si="15"/>
        <v>152188950.24999997</v>
      </c>
      <c r="Y13" s="205">
        <f t="shared" ca="1" si="16"/>
        <v>152188950.24999997</v>
      </c>
      <c r="Z13" s="205">
        <f t="shared" ca="1" si="17"/>
        <v>152188950.24999997</v>
      </c>
      <c r="AA13" s="205">
        <f t="shared" ca="1" si="18"/>
        <v>152188950.24999997</v>
      </c>
      <c r="AB13" s="205">
        <f t="shared" ca="1" si="19"/>
        <v>152188950.24999997</v>
      </c>
      <c r="AC13" s="205">
        <f t="shared" ca="1" si="20"/>
        <v>152188950.24999997</v>
      </c>
      <c r="AD13" s="205">
        <f t="shared" ca="1" si="21"/>
        <v>152188950.24999997</v>
      </c>
      <c r="AE13" s="205">
        <f t="shared" ca="1" si="22"/>
        <v>152188950.24999997</v>
      </c>
      <c r="AF13" s="205">
        <f t="shared" ca="1" si="23"/>
        <v>152188950.24999997</v>
      </c>
      <c r="AG13" s="205">
        <f t="shared" ca="1" si="24"/>
        <v>152188950.24999997</v>
      </c>
      <c r="AH13" s="205">
        <f t="shared" ca="1" si="25"/>
        <v>152188950.24999997</v>
      </c>
      <c r="AI13" s="205">
        <f t="shared" ca="1" si="26"/>
        <v>152188950.24999997</v>
      </c>
      <c r="AJ13" s="205">
        <f t="shared" ca="1" si="27"/>
        <v>152188950.24999997</v>
      </c>
      <c r="AK13" s="205">
        <f t="shared" ca="1" si="28"/>
        <v>152188950.24999997</v>
      </c>
      <c r="AL13" s="205">
        <f t="shared" ca="1" si="29"/>
        <v>152188950.24999997</v>
      </c>
      <c r="AM13" s="205">
        <f t="shared" ca="1" si="30"/>
        <v>152188950.24999997</v>
      </c>
      <c r="AN13" s="205">
        <f t="shared" ca="1" si="31"/>
        <v>152188950.24999997</v>
      </c>
      <c r="AO13" s="205">
        <f t="shared" ca="1" si="32"/>
        <v>152188950.24999997</v>
      </c>
      <c r="AP13" s="205">
        <f t="shared" ca="1" si="33"/>
        <v>152188950.24999997</v>
      </c>
      <c r="AQ13" s="205">
        <f t="shared" ca="1" si="34"/>
        <v>152188950.24999997</v>
      </c>
      <c r="AR13" s="205">
        <f t="shared" ca="1" si="35"/>
        <v>152188950.24999997</v>
      </c>
      <c r="AS13" s="205">
        <f t="shared" ca="1" si="36"/>
        <v>152188950.24999997</v>
      </c>
      <c r="AT13" s="205">
        <f t="shared" ca="1" si="37"/>
        <v>152188950.24999997</v>
      </c>
      <c r="AU13" s="205">
        <f t="shared" ca="1" si="38"/>
        <v>152188950.24999997</v>
      </c>
      <c r="AV13" s="205">
        <f t="shared" ca="1" si="39"/>
        <v>152188950.24999997</v>
      </c>
      <c r="AW13" s="205">
        <f t="shared" ca="1" si="40"/>
        <v>152188950.24999997</v>
      </c>
      <c r="AX13" s="205">
        <f t="shared" ca="1" si="41"/>
        <v>152188950.24999997</v>
      </c>
      <c r="AY13" s="205">
        <f t="shared" ca="1" si="42"/>
        <v>152188950.24999997</v>
      </c>
      <c r="AZ13" s="205">
        <f t="shared" ca="1" si="43"/>
        <v>152188950.24999997</v>
      </c>
      <c r="BA13" s="205">
        <f t="shared" ca="1" si="44"/>
        <v>4595661950.25</v>
      </c>
      <c r="BB13" s="205" t="str">
        <f t="shared" ca="1" si="45"/>
        <v/>
      </c>
      <c r="BC13" s="205" t="str">
        <f t="shared" ca="1" si="46"/>
        <v/>
      </c>
      <c r="BD13" s="205" t="str">
        <f t="shared" ca="1" si="47"/>
        <v/>
      </c>
      <c r="BE13" s="205" t="str">
        <f t="shared" ca="1" si="48"/>
        <v/>
      </c>
      <c r="BF13" s="205" t="str">
        <f t="shared" ca="1" si="49"/>
        <v/>
      </c>
      <c r="BG13" s="205" t="str">
        <f t="shared" ca="1" si="50"/>
        <v/>
      </c>
      <c r="BH13" s="205" t="str">
        <f t="shared" ca="1" si="51"/>
        <v/>
      </c>
      <c r="BI13" s="205" t="str">
        <f t="shared" ca="1" si="52"/>
        <v/>
      </c>
      <c r="BJ13" s="205" t="str">
        <f t="shared" ca="1" si="53"/>
        <v/>
      </c>
      <c r="BK13" s="205" t="str">
        <f t="shared" ca="1" si="54"/>
        <v/>
      </c>
      <c r="BL13" s="205" t="str">
        <f t="shared" ca="1" si="55"/>
        <v/>
      </c>
      <c r="BM13" s="205" t="str">
        <f t="shared" ca="1" si="56"/>
        <v/>
      </c>
      <c r="BN13" s="205" t="str">
        <f t="shared" ca="1" si="57"/>
        <v/>
      </c>
      <c r="BO13" s="205" t="str">
        <f t="shared" ca="1" si="58"/>
        <v/>
      </c>
      <c r="BP13" s="205" t="str">
        <f t="shared" ca="1" si="59"/>
        <v/>
      </c>
      <c r="BQ13" s="205" t="str">
        <f t="shared" ca="1" si="60"/>
        <v/>
      </c>
      <c r="BR13" s="205" t="str">
        <f t="shared" ca="1" si="61"/>
        <v/>
      </c>
      <c r="BS13" s="205" t="str">
        <f t="shared" ca="1" si="62"/>
        <v/>
      </c>
      <c r="BT13" s="205" t="str">
        <f t="shared" ca="1" si="63"/>
        <v/>
      </c>
      <c r="BU13" s="205" t="str">
        <f t="shared" ca="1" si="64"/>
        <v/>
      </c>
      <c r="BV13" s="205" t="str">
        <f t="shared" ca="1" si="65"/>
        <v/>
      </c>
      <c r="BW13" s="205" t="str">
        <f t="shared" ca="1" si="66"/>
        <v/>
      </c>
      <c r="BX13" s="205" t="str">
        <f t="shared" ca="1" si="67"/>
        <v/>
      </c>
      <c r="BY13" s="205" t="str">
        <f t="shared" ca="1" si="68"/>
        <v/>
      </c>
      <c r="BZ13" s="205" t="str">
        <f t="shared" ca="1" si="69"/>
        <v/>
      </c>
      <c r="CA13" s="205" t="str">
        <f t="shared" ca="1" si="70"/>
        <v/>
      </c>
    </row>
    <row r="14" spans="1:79">
      <c r="A14" s="181" t="s">
        <v>126</v>
      </c>
      <c r="B14" s="214" t="str">
        <f ca="1">OFFSET(bd_bonos!$A$1,MATCH(bs_flujo!$A14,bd_bonos!$A:$A,0)-1,11)</f>
        <v>12/02/2055</v>
      </c>
      <c r="C14" s="181">
        <f t="shared" ca="1" si="71"/>
        <v>2055</v>
      </c>
      <c r="D14" s="181" t="s">
        <v>568</v>
      </c>
      <c r="E14" s="204">
        <f ca="1">OFFSET(bd_bonos!$A$1,MATCH(bs_flujo!$A14,bd_bonos!$A:$A,0)-1,4)</f>
        <v>6.7141999999999999</v>
      </c>
      <c r="F14" s="181" t="s">
        <v>569</v>
      </c>
      <c r="G14" s="205">
        <f ca="1">OFFSET(bd_bonos!$A$1,MATCH(bs_flujo!$A14,bd_bonos!$A:$A,0)-1,33)/1000</f>
        <v>2271843</v>
      </c>
      <c r="H14" s="205">
        <f t="shared" ca="1" si="0"/>
        <v>76268041.353</v>
      </c>
      <c r="I14" s="205">
        <f t="shared" ca="1" si="1"/>
        <v>76268041.353</v>
      </c>
      <c r="J14" s="205">
        <f t="shared" ca="1" si="2"/>
        <v>76268041.353</v>
      </c>
      <c r="K14" s="205">
        <f t="shared" ca="1" si="3"/>
        <v>76268041.353</v>
      </c>
      <c r="L14" s="205">
        <f t="shared" ca="1" si="4"/>
        <v>76268041.353</v>
      </c>
      <c r="M14" s="205">
        <f t="shared" ca="1" si="5"/>
        <v>76268041.353</v>
      </c>
      <c r="N14" s="205">
        <f t="shared" ca="1" si="6"/>
        <v>76268041.353</v>
      </c>
      <c r="O14" s="205">
        <f t="shared" ca="1" si="7"/>
        <v>76268041.353</v>
      </c>
      <c r="P14" s="205">
        <f t="shared" ca="1" si="72"/>
        <v>76268041.353</v>
      </c>
      <c r="Q14" s="205">
        <f t="shared" ca="1" si="8"/>
        <v>76268041.353</v>
      </c>
      <c r="R14" s="205">
        <f t="shared" ca="1" si="9"/>
        <v>76268041.353</v>
      </c>
      <c r="S14" s="205">
        <f t="shared" ca="1" si="10"/>
        <v>76268041.353</v>
      </c>
      <c r="T14" s="205">
        <f t="shared" ca="1" si="11"/>
        <v>76268041.353</v>
      </c>
      <c r="U14" s="205">
        <f t="shared" ca="1" si="12"/>
        <v>76268041.353</v>
      </c>
      <c r="V14" s="205">
        <f t="shared" ca="1" si="13"/>
        <v>76268041.353</v>
      </c>
      <c r="W14" s="205">
        <f t="shared" ca="1" si="14"/>
        <v>76268041.353</v>
      </c>
      <c r="X14" s="205">
        <f t="shared" ca="1" si="15"/>
        <v>76268041.353</v>
      </c>
      <c r="Y14" s="205">
        <f t="shared" ca="1" si="16"/>
        <v>76268041.353</v>
      </c>
      <c r="Z14" s="205">
        <f t="shared" ca="1" si="17"/>
        <v>76268041.353</v>
      </c>
      <c r="AA14" s="205">
        <f t="shared" ca="1" si="18"/>
        <v>76268041.353</v>
      </c>
      <c r="AB14" s="205">
        <f t="shared" ca="1" si="19"/>
        <v>76268041.353</v>
      </c>
      <c r="AC14" s="205">
        <f t="shared" ca="1" si="20"/>
        <v>76268041.353</v>
      </c>
      <c r="AD14" s="205">
        <f t="shared" ca="1" si="21"/>
        <v>76268041.353</v>
      </c>
      <c r="AE14" s="205">
        <f t="shared" ca="1" si="22"/>
        <v>76268041.353</v>
      </c>
      <c r="AF14" s="205">
        <f t="shared" ca="1" si="23"/>
        <v>76268041.353</v>
      </c>
      <c r="AG14" s="205">
        <f t="shared" ca="1" si="24"/>
        <v>76268041.353</v>
      </c>
      <c r="AH14" s="205">
        <f t="shared" ca="1" si="25"/>
        <v>76268041.353</v>
      </c>
      <c r="AI14" s="205">
        <f t="shared" ca="1" si="26"/>
        <v>76268041.353</v>
      </c>
      <c r="AJ14" s="205">
        <f t="shared" ca="1" si="27"/>
        <v>76268041.353</v>
      </c>
      <c r="AK14" s="205">
        <f t="shared" ca="1" si="28"/>
        <v>76268041.353</v>
      </c>
      <c r="AL14" s="205">
        <f t="shared" ca="1" si="29"/>
        <v>76268041.353</v>
      </c>
      <c r="AM14" s="205">
        <f t="shared" ca="1" si="30"/>
        <v>76268041.353</v>
      </c>
      <c r="AN14" s="205">
        <f t="shared" ca="1" si="31"/>
        <v>76268041.353</v>
      </c>
      <c r="AO14" s="205">
        <f t="shared" ca="1" si="32"/>
        <v>76268041.353</v>
      </c>
      <c r="AP14" s="205">
        <f t="shared" ca="1" si="33"/>
        <v>76268041.353</v>
      </c>
      <c r="AQ14" s="205">
        <f t="shared" ca="1" si="34"/>
        <v>76268041.353</v>
      </c>
      <c r="AR14" s="205">
        <f t="shared" ca="1" si="35"/>
        <v>76268041.353</v>
      </c>
      <c r="AS14" s="205">
        <f t="shared" ca="1" si="36"/>
        <v>76268041.353</v>
      </c>
      <c r="AT14" s="205">
        <f t="shared" ca="1" si="37"/>
        <v>76268041.353</v>
      </c>
      <c r="AU14" s="205">
        <f t="shared" ca="1" si="38"/>
        <v>76268041.353</v>
      </c>
      <c r="AV14" s="205">
        <f t="shared" ca="1" si="39"/>
        <v>76268041.353</v>
      </c>
      <c r="AW14" s="205">
        <f t="shared" ca="1" si="40"/>
        <v>76268041.353</v>
      </c>
      <c r="AX14" s="205">
        <f t="shared" ca="1" si="41"/>
        <v>76268041.353</v>
      </c>
      <c r="AY14" s="205">
        <f t="shared" ca="1" si="42"/>
        <v>76268041.353</v>
      </c>
      <c r="AZ14" s="205">
        <f t="shared" ca="1" si="43"/>
        <v>76268041.353</v>
      </c>
      <c r="BA14" s="205">
        <f t="shared" ca="1" si="44"/>
        <v>76268041.353</v>
      </c>
      <c r="BB14" s="205">
        <f t="shared" ca="1" si="45"/>
        <v>76268041.353</v>
      </c>
      <c r="BC14" s="205">
        <f t="shared" ca="1" si="46"/>
        <v>76268041.353</v>
      </c>
      <c r="BD14" s="205">
        <f t="shared" ca="1" si="47"/>
        <v>76268041.353</v>
      </c>
      <c r="BE14" s="205">
        <f t="shared" ca="1" si="48"/>
        <v>76268041.353</v>
      </c>
      <c r="BF14" s="205">
        <f t="shared" ca="1" si="49"/>
        <v>76268041.353</v>
      </c>
      <c r="BG14" s="205">
        <f t="shared" ca="1" si="50"/>
        <v>76268041.353</v>
      </c>
      <c r="BH14" s="205">
        <f t="shared" ca="1" si="51"/>
        <v>76268041.353</v>
      </c>
      <c r="BI14" s="205">
        <f t="shared" ca="1" si="52"/>
        <v>76268041.353</v>
      </c>
      <c r="BJ14" s="205">
        <f t="shared" ca="1" si="53"/>
        <v>76268041.353</v>
      </c>
      <c r="BK14" s="205">
        <f t="shared" ca="1" si="54"/>
        <v>76268041.353</v>
      </c>
      <c r="BL14" s="205">
        <f t="shared" ca="1" si="55"/>
        <v>76268041.353</v>
      </c>
      <c r="BM14" s="205">
        <f t="shared" ca="1" si="56"/>
        <v>76268041.353</v>
      </c>
      <c r="BN14" s="205">
        <f t="shared" ca="1" si="57"/>
        <v>76268041.353</v>
      </c>
      <c r="BO14" s="205">
        <f t="shared" ca="1" si="58"/>
        <v>76268041.353</v>
      </c>
      <c r="BP14" s="205">
        <f t="shared" ca="1" si="59"/>
        <v>76268041.353</v>
      </c>
      <c r="BQ14" s="205">
        <f t="shared" ca="1" si="60"/>
        <v>76268041.353</v>
      </c>
      <c r="BR14" s="205">
        <f t="shared" ca="1" si="61"/>
        <v>76268041.353</v>
      </c>
      <c r="BS14" s="205">
        <f t="shared" ca="1" si="62"/>
        <v>76268041.353</v>
      </c>
      <c r="BT14" s="205">
        <f t="shared" ca="1" si="63"/>
        <v>76268041.353</v>
      </c>
      <c r="BU14" s="205">
        <f t="shared" ca="1" si="64"/>
        <v>76268041.353</v>
      </c>
      <c r="BV14" s="205">
        <f t="shared" ca="1" si="65"/>
        <v>76268041.353</v>
      </c>
      <c r="BW14" s="205">
        <f t="shared" ca="1" si="66"/>
        <v>76268041.353</v>
      </c>
      <c r="BX14" s="205">
        <f t="shared" ca="1" si="67"/>
        <v>76268041.353</v>
      </c>
      <c r="BY14" s="205">
        <f t="shared" ca="1" si="68"/>
        <v>76268041.353</v>
      </c>
      <c r="BZ14" s="205">
        <f t="shared" ca="1" si="69"/>
        <v>76268041.353</v>
      </c>
      <c r="CA14" s="205">
        <f t="shared" ca="1" si="70"/>
        <v>2348111041.3530002</v>
      </c>
    </row>
    <row r="15" spans="1:79">
      <c r="E15" s="204"/>
      <c r="F15" s="206" t="s">
        <v>570</v>
      </c>
      <c r="G15" s="206">
        <f ca="1">SUM($G$3:$G$14)</f>
        <v>103701389</v>
      </c>
      <c r="H15" s="206">
        <f ca="1">SUM($H$3:$H$14)</f>
        <v>3401655887.2530003</v>
      </c>
      <c r="I15" s="206">
        <f ca="1">SUM($I$3:$I$14)</f>
        <v>3401655887.2530003</v>
      </c>
      <c r="J15" s="206">
        <f ca="1">SUM($J$3:$J$14)</f>
        <v>4975247887.2530003</v>
      </c>
      <c r="K15" s="206">
        <f ca="1">SUM($K$3:$K$14)</f>
        <v>3339971080.8530002</v>
      </c>
      <c r="L15" s="206">
        <f ca="1">SUM($L$3:$L$14)</f>
        <v>3339971080.8530002</v>
      </c>
      <c r="M15" s="206">
        <f ca="1">SUM($M$3:$M$14)</f>
        <v>3339971080.8530002</v>
      </c>
      <c r="N15" s="206">
        <f ca="1">SUM($N$3:$N$14)</f>
        <v>3339971080.8530002</v>
      </c>
      <c r="O15" s="206">
        <f ca="1">SUM($O$3:$O$14)</f>
        <v>3339971080.8530002</v>
      </c>
      <c r="P15" s="206">
        <f ca="1">SUM($P$3:$P$14)</f>
        <v>9226475080.8530006</v>
      </c>
      <c r="Q15" s="206">
        <f ca="1">SUM($Q$3:$Q$14)</f>
        <v>3186921976.8530002</v>
      </c>
      <c r="R15" s="206">
        <f ca="1">SUM($R$3:$R$14)</f>
        <v>14465269976.853001</v>
      </c>
      <c r="S15" s="206">
        <f ca="1">SUM($S$3:$S$14)</f>
        <v>2865489058.8530002</v>
      </c>
      <c r="T15" s="206">
        <f ca="1">SUM($T$3:$T$14)</f>
        <v>2865489058.8530002</v>
      </c>
      <c r="U15" s="206">
        <f ca="1">SUM($U$3:$U$14)</f>
        <v>2865489058.8530002</v>
      </c>
      <c r="V15" s="206">
        <f ca="1">SUM($V$3:$V$14)</f>
        <v>15380829058.853001</v>
      </c>
      <c r="W15" s="206">
        <f ca="1">SUM($W$3:$W$14)</f>
        <v>2352360118.8530002</v>
      </c>
      <c r="X15" s="206">
        <f ca="1">SUM($X$3:$X$14)</f>
        <v>2352360118.8530002</v>
      </c>
      <c r="Y15" s="206">
        <f ca="1">SUM($Y$3:$Y$14)</f>
        <v>2352360118.8530002</v>
      </c>
      <c r="Z15" s="206">
        <f ca="1">SUM($Z$3:$Z$14)</f>
        <v>16823520118.853001</v>
      </c>
      <c r="AA15" s="206">
        <f ca="1">SUM($AA$3:$AA$14)</f>
        <v>14083164788.853001</v>
      </c>
      <c r="AB15" s="206">
        <f ca="1">SUM($AB$3:$AB$14)</f>
        <v>1530800368.8529999</v>
      </c>
      <c r="AC15" s="206">
        <f ca="1">SUM($AC$3:$AC$14)</f>
        <v>1530800368.8529999</v>
      </c>
      <c r="AD15" s="206">
        <f ca="1">SUM($AD$3:$AD$14)</f>
        <v>1530800368.8529999</v>
      </c>
      <c r="AE15" s="206">
        <f ca="1">SUM($AE$3:$AE$14)</f>
        <v>1530800368.8529999</v>
      </c>
      <c r="AF15" s="206">
        <f ca="1">SUM($AF$3:$AF$14)</f>
        <v>15823044368.853001</v>
      </c>
      <c r="AG15" s="206">
        <f ca="1">SUM($AG$3:$AG$14)</f>
        <v>1034144889.853</v>
      </c>
      <c r="AH15" s="206">
        <f ca="1">SUM($AH$3:$AH$14)</f>
        <v>14147351889.853001</v>
      </c>
      <c r="AI15" s="206">
        <f ca="1">SUM($AI$3:$AI$14)</f>
        <v>630913774.60300004</v>
      </c>
      <c r="AJ15" s="206">
        <f ca="1">SUM($AJ$3:$AJ$14)</f>
        <v>630913774.60300004</v>
      </c>
      <c r="AK15" s="206">
        <f ca="1">SUM($AK$3:$AK$14)</f>
        <v>630913774.60300004</v>
      </c>
      <c r="AL15" s="206">
        <f ca="1">SUM($AL$3:$AL$14)</f>
        <v>630913774.60300004</v>
      </c>
      <c r="AM15" s="206">
        <f ca="1">SUM($AM$3:$AM$14)</f>
        <v>630913774.60300004</v>
      </c>
      <c r="AN15" s="206">
        <f ca="1">SUM($AN$3:$AN$14)</f>
        <v>630913774.60300004</v>
      </c>
      <c r="AO15" s="206">
        <f ca="1">SUM($AO$3:$AO$14)</f>
        <v>630913774.60300004</v>
      </c>
      <c r="AP15" s="206">
        <f ca="1">SUM($AP$3:$AP$14)</f>
        <v>630913774.60300004</v>
      </c>
      <c r="AQ15" s="206">
        <f ca="1">SUM($AQ$3:$AQ$14)</f>
        <v>630913774.60300004</v>
      </c>
      <c r="AR15" s="206">
        <f ca="1">SUM($AR$3:$AR$14)</f>
        <v>12296327774.603001</v>
      </c>
      <c r="AS15" s="206">
        <f ca="1">SUM($AS$3:$AS$14)</f>
        <v>228456991.60299999</v>
      </c>
      <c r="AT15" s="206">
        <f ca="1">SUM($AT$3:$AT$14)</f>
        <v>228456991.60299999</v>
      </c>
      <c r="AU15" s="206">
        <f ca="1">SUM($AU$3:$AU$14)</f>
        <v>228456991.60299999</v>
      </c>
      <c r="AV15" s="206">
        <f ca="1">SUM($AV$3:$AV$14)</f>
        <v>228456991.60299999</v>
      </c>
      <c r="AW15" s="206">
        <f ca="1">SUM($AW$3:$AW$14)</f>
        <v>228456991.60299999</v>
      </c>
      <c r="AX15" s="206">
        <f ca="1">SUM($AX$3:$AX$14)</f>
        <v>228456991.60299999</v>
      </c>
      <c r="AY15" s="206">
        <f ca="1">SUM($AY$3:$AY$14)</f>
        <v>228456991.60299999</v>
      </c>
      <c r="AZ15" s="206">
        <f ca="1">SUM($AZ$3:$AZ$14)</f>
        <v>228456991.60299999</v>
      </c>
      <c r="BA15" s="206">
        <f ca="1">SUM($BA$3:$BA$14)</f>
        <v>4671929991.6029997</v>
      </c>
      <c r="BB15" s="206">
        <f ca="1">SUM($BB$3:$BB$14)</f>
        <v>76268041.353</v>
      </c>
      <c r="BC15" s="206">
        <f ca="1">SUM($BC$3:$BC$14)</f>
        <v>76268041.353</v>
      </c>
      <c r="BD15" s="206">
        <f ca="1">SUM($BD$3:$BD$14)</f>
        <v>76268041.353</v>
      </c>
      <c r="BE15" s="206">
        <f ca="1">SUM($BE$3:$BE$14)</f>
        <v>76268041.353</v>
      </c>
      <c r="BF15" s="206">
        <f ca="1">SUM($BF$3:$BF$14)</f>
        <v>76268041.353</v>
      </c>
      <c r="BG15" s="206">
        <f ca="1">SUM($BG$3:$BG$14)</f>
        <v>76268041.353</v>
      </c>
      <c r="BH15" s="206">
        <f ca="1">SUM($BH$3:$BH$14)</f>
        <v>76268041.353</v>
      </c>
      <c r="BI15" s="206">
        <f ca="1">SUM($BI$3:$BI$14)</f>
        <v>76268041.353</v>
      </c>
      <c r="BJ15" s="206">
        <f ca="1">SUM($BJ$3:$BJ$14)</f>
        <v>76268041.353</v>
      </c>
      <c r="BK15" s="206">
        <f ca="1">SUM($BK$3:$BK$14)</f>
        <v>76268041.353</v>
      </c>
      <c r="BL15" s="206">
        <f ca="1">SUM($BL$3:$BL$14)</f>
        <v>76268041.353</v>
      </c>
      <c r="BM15" s="206">
        <f ca="1">SUM($BM$3:$BM$14)</f>
        <v>76268041.353</v>
      </c>
      <c r="BN15" s="206">
        <f ca="1">SUM($BN$3:$BN$14)</f>
        <v>76268041.353</v>
      </c>
      <c r="BO15" s="206">
        <f ca="1">SUM($BO$3:$BO$14)</f>
        <v>76268041.353</v>
      </c>
      <c r="BP15" s="206">
        <f ca="1">SUM($BP$3:$BP$14)</f>
        <v>76268041.353</v>
      </c>
      <c r="BQ15" s="206">
        <f ca="1">SUM($BQ$3:$BQ$14)</f>
        <v>76268041.353</v>
      </c>
      <c r="BR15" s="206">
        <f ca="1">SUM($BR$3:$BR$14)</f>
        <v>76268041.353</v>
      </c>
      <c r="BS15" s="206">
        <f ca="1">SUM($BS$3:$BS$14)</f>
        <v>76268041.353</v>
      </c>
      <c r="BT15" s="206">
        <f ca="1">SUM($BT$3:$BT$14)</f>
        <v>76268041.353</v>
      </c>
      <c r="BU15" s="206">
        <f ca="1">SUM($BU$3:$BU$14)</f>
        <v>76268041.353</v>
      </c>
      <c r="BV15" s="206">
        <f ca="1">SUM($BV$3:$BV$14)</f>
        <v>76268041.353</v>
      </c>
      <c r="BW15" s="206">
        <f ca="1">SUM($BW$3:$BW$14)</f>
        <v>76268041.353</v>
      </c>
      <c r="BX15" s="206">
        <f ca="1">SUM($BX$3:$BX$14)</f>
        <v>76268041.353</v>
      </c>
      <c r="BY15" s="206">
        <f ca="1">SUM($BY$3:$BY$14)</f>
        <v>76268041.353</v>
      </c>
      <c r="BZ15" s="206">
        <f ca="1">SUM($BZ$3:$BZ$14)</f>
        <v>76268041.353</v>
      </c>
      <c r="CA15" s="206">
        <f ca="1">SUM($CA$3:$CA$14)</f>
        <v>2348111041.3530002</v>
      </c>
    </row>
    <row r="16" spans="1:79">
      <c r="E16" s="204"/>
      <c r="G16" s="205"/>
      <c r="H16" s="205"/>
      <c r="I16" s="205"/>
      <c r="J16" s="205"/>
      <c r="K16" s="205"/>
      <c r="L16" s="205"/>
      <c r="M16" s="205"/>
      <c r="N16" s="205"/>
      <c r="O16" s="205"/>
      <c r="P16" s="205"/>
      <c r="Q16" s="205"/>
      <c r="R16" s="205"/>
      <c r="S16" s="205"/>
      <c r="T16" s="205"/>
      <c r="U16" s="205"/>
      <c r="V16" s="205"/>
      <c r="W16" s="205"/>
      <c r="X16" s="205"/>
      <c r="Y16" s="205"/>
      <c r="Z16" s="205"/>
      <c r="AA16" s="205"/>
      <c r="AB16" s="205"/>
      <c r="AC16" s="205"/>
      <c r="AD16" s="205"/>
      <c r="AE16" s="205"/>
      <c r="AF16" s="205"/>
      <c r="AG16" s="205"/>
      <c r="AH16" s="205"/>
      <c r="AI16" s="205"/>
      <c r="AJ16" s="205"/>
      <c r="AK16" s="205"/>
      <c r="AL16" s="205"/>
      <c r="AM16" s="205"/>
      <c r="AN16" s="205"/>
      <c r="AO16" s="205"/>
      <c r="AP16" s="205"/>
      <c r="AQ16" s="205"/>
      <c r="AR16" s="205"/>
      <c r="AS16" s="205"/>
      <c r="AT16" s="205"/>
      <c r="AU16" s="205"/>
      <c r="AV16" s="205"/>
      <c r="AW16" s="205"/>
      <c r="AX16" s="205"/>
      <c r="AY16" s="205"/>
      <c r="AZ16" s="205"/>
      <c r="BA16" s="205"/>
      <c r="BB16" s="205"/>
      <c r="BC16" s="205"/>
      <c r="BD16" s="205"/>
      <c r="BE16" s="205"/>
      <c r="BF16" s="205"/>
      <c r="BG16" s="205"/>
      <c r="BH16" s="205"/>
      <c r="BI16" s="205"/>
      <c r="BJ16" s="205"/>
      <c r="BK16" s="205"/>
      <c r="BL16" s="205"/>
      <c r="BM16" s="205"/>
      <c r="BN16" s="205"/>
      <c r="BO16" s="205"/>
      <c r="BP16" s="205"/>
      <c r="BQ16" s="205"/>
      <c r="BR16" s="205"/>
      <c r="BS16" s="205"/>
      <c r="BT16" s="205"/>
      <c r="BU16" s="205"/>
      <c r="BV16" s="205"/>
      <c r="BW16" s="205"/>
      <c r="BX16" s="205"/>
      <c r="BY16" s="205"/>
      <c r="BZ16" s="205"/>
      <c r="CA16" s="205"/>
    </row>
    <row r="17" spans="5:79">
      <c r="E17" s="204"/>
      <c r="F17" s="207">
        <v>2019</v>
      </c>
      <c r="G17" s="207">
        <v>2020</v>
      </c>
      <c r="H17" s="207">
        <v>2021</v>
      </c>
      <c r="I17" s="207">
        <v>2022</v>
      </c>
      <c r="J17" s="207">
        <v>2023</v>
      </c>
      <c r="K17" s="207">
        <v>2024</v>
      </c>
      <c r="L17" s="207">
        <v>2025</v>
      </c>
      <c r="M17" s="207">
        <v>2026</v>
      </c>
      <c r="N17" s="207">
        <v>2027</v>
      </c>
      <c r="O17" s="207">
        <v>2028</v>
      </c>
      <c r="P17" s="207">
        <v>2029</v>
      </c>
      <c r="Q17" s="207">
        <v>2030</v>
      </c>
      <c r="R17" s="207">
        <v>2031</v>
      </c>
      <c r="S17" s="207">
        <v>2032</v>
      </c>
      <c r="T17" s="207">
        <v>2033</v>
      </c>
      <c r="U17" s="207">
        <v>2034</v>
      </c>
      <c r="V17" s="207">
        <v>2035</v>
      </c>
      <c r="W17" s="207">
        <v>2036</v>
      </c>
      <c r="X17" s="207">
        <v>2037</v>
      </c>
      <c r="Y17" s="207">
        <v>2038</v>
      </c>
      <c r="Z17" s="207">
        <v>2039</v>
      </c>
      <c r="AA17" s="207">
        <v>2040</v>
      </c>
      <c r="AB17" s="207">
        <v>2041</v>
      </c>
      <c r="AC17" s="207">
        <v>2042</v>
      </c>
      <c r="AD17" s="207">
        <v>2043</v>
      </c>
      <c r="AE17" s="207">
        <v>2044</v>
      </c>
      <c r="AF17" s="207">
        <v>2045</v>
      </c>
      <c r="AG17" s="207">
        <v>2046</v>
      </c>
      <c r="AH17" s="207">
        <v>2047</v>
      </c>
      <c r="AI17" s="207">
        <v>2048</v>
      </c>
      <c r="AJ17" s="207">
        <v>2049</v>
      </c>
      <c r="AK17" s="207">
        <v>2050</v>
      </c>
      <c r="AL17" s="207">
        <v>2051</v>
      </c>
      <c r="AM17" s="207">
        <v>2052</v>
      </c>
      <c r="AN17" s="207">
        <v>2053</v>
      </c>
      <c r="AO17" s="207">
        <v>2054</v>
      </c>
      <c r="AP17" s="207">
        <v>2055</v>
      </c>
      <c r="AQ17" s="207"/>
      <c r="AR17" s="207"/>
      <c r="AS17" s="207"/>
      <c r="AT17" s="207"/>
      <c r="AU17" s="207"/>
      <c r="AV17" s="207"/>
      <c r="AW17" s="207"/>
      <c r="AX17" s="207"/>
      <c r="AY17" s="207"/>
      <c r="AZ17" s="207"/>
      <c r="BA17" s="207"/>
      <c r="BB17" s="207"/>
      <c r="BC17" s="207"/>
      <c r="BD17" s="207"/>
      <c r="BE17" s="207"/>
      <c r="BF17" s="207"/>
      <c r="BG17" s="207"/>
      <c r="BH17" s="207"/>
      <c r="BI17" s="207"/>
      <c r="BJ17" s="207"/>
      <c r="BK17" s="207"/>
      <c r="BL17" s="207"/>
      <c r="BM17" s="207"/>
      <c r="BN17" s="207"/>
      <c r="BO17" s="207"/>
      <c r="BP17" s="207"/>
      <c r="BQ17" s="207"/>
      <c r="BR17" s="207"/>
      <c r="BS17" s="207"/>
      <c r="BT17" s="207"/>
      <c r="BU17" s="207"/>
      <c r="BV17" s="207"/>
      <c r="BW17" s="207"/>
      <c r="BX17" s="207"/>
      <c r="BY17" s="207"/>
      <c r="BZ17" s="207"/>
      <c r="CA17" s="207"/>
    </row>
    <row r="18" spans="5:79">
      <c r="E18" s="204" t="s">
        <v>565</v>
      </c>
      <c r="F18" s="205">
        <f ca="1">SUMIF($H$1:$CA$1,"="&amp;$F$17,$H$15:$CA$15)</f>
        <v>3401655887.2530003</v>
      </c>
      <c r="G18" s="205">
        <f ca="1">SUMIF($H$1:$CA$1,"="&amp;$G$17,$H$15:$CA$15)</f>
        <v>8376903774.5060005</v>
      </c>
      <c r="H18" s="205">
        <f ca="1">SUMIF($H$1:$CA$1,"="&amp;$H$17,$H$15:$CA$15)</f>
        <v>6679942161.7060003</v>
      </c>
      <c r="I18" s="205">
        <f ca="1">SUMIF($H$1:$CA$1,"="&amp;$I$17,$H$15:$CA$15)</f>
        <v>6679942161.7060003</v>
      </c>
      <c r="J18" s="205">
        <f ca="1">SUMIF($H$1:$CA$1,"="&amp;$J$17,$H$15:$CA$15)</f>
        <v>12566446161.706001</v>
      </c>
      <c r="K18" s="205">
        <f ca="1">SUMIF($H$1:$CA$1,"="&amp;$K$17,$H$15:$CA$15)</f>
        <v>17652191953.706001</v>
      </c>
      <c r="L18" s="205">
        <f ca="1">SUMIF($H$1:$CA$1,"="&amp;$L$17,$H$15:$CA$15)</f>
        <v>5730978117.7060003</v>
      </c>
      <c r="M18" s="205">
        <f ca="1">SUMIF($H$1:$CA$1,"="&amp;$M$17,$H$15:$CA$15)</f>
        <v>18246318117.706001</v>
      </c>
      <c r="N18" s="205">
        <f ca="1">SUMIF($H$1:$CA$1,"="&amp;$N$17,$H$15:$CA$15)</f>
        <v>4704720237.7060003</v>
      </c>
      <c r="O18" s="205">
        <f ca="1">SUMIF($H$1:$CA$1,"="&amp;$O$17,$H$15:$CA$15)</f>
        <v>19175880237.706001</v>
      </c>
      <c r="P18" s="205">
        <f ca="1">SUMIF($H$1:$CA$1,"="&amp;$P$17,$H$15:$CA$15)</f>
        <v>15613965157.706001</v>
      </c>
      <c r="Q18" s="205">
        <f ca="1">SUMIF($H$1:$CA$1,"="&amp;$Q$17,$H$15:$CA$15)</f>
        <v>3061600737.7059999</v>
      </c>
      <c r="R18" s="205">
        <f ca="1">SUMIF($H$1:$CA$1,"="&amp;$R$17,$H$15:$CA$15)</f>
        <v>17353844737.706001</v>
      </c>
      <c r="S18" s="205">
        <f ca="1">SUMIF($H$1:$CA$1,"="&amp;$S$17,$H$15:$CA$15)</f>
        <v>15181496779.706001</v>
      </c>
      <c r="T18" s="205">
        <f ca="1">SUMIF($H$1:$CA$1,"="&amp;$T$17,$H$15:$CA$15)</f>
        <v>1261827549.2060001</v>
      </c>
      <c r="U18" s="205">
        <f ca="1">SUMIF($H$1:$CA$1,"="&amp;$U$17,$H$15:$CA$15)</f>
        <v>1261827549.2060001</v>
      </c>
      <c r="V18" s="205">
        <f ca="1">SUMIF($H$1:$CA$1,"="&amp;$V$17,$H$15:$CA$15)</f>
        <v>1261827549.2060001</v>
      </c>
      <c r="W18" s="205">
        <f ca="1">SUMIF($H$1:$CA$1,"="&amp;$W$17,$H$15:$CA$15)</f>
        <v>1261827549.2060001</v>
      </c>
      <c r="X18" s="205">
        <f ca="1">SUMIF($H$1:$CA$1,"="&amp;$X$17,$H$15:$CA$15)</f>
        <v>12927241549.206001</v>
      </c>
      <c r="Y18" s="205">
        <f ca="1">SUMIF($H$1:$CA$1,"="&amp;$Y$17,$H$15:$CA$15)</f>
        <v>456913983.20599997</v>
      </c>
      <c r="Z18" s="205">
        <f ca="1">SUMIF($H$1:$CA$1,"="&amp;$Z$17,$H$15:$CA$15)</f>
        <v>456913983.20599997</v>
      </c>
      <c r="AA18" s="205">
        <f ca="1">SUMIF($H$1:$CA$1,"="&amp;$AA$17,$H$15:$CA$15)</f>
        <v>456913983.20599997</v>
      </c>
      <c r="AB18" s="205">
        <f ca="1">SUMIF($H$1:$CA$1,"="&amp;$AB$17,$H$15:$CA$15)</f>
        <v>456913983.20599997</v>
      </c>
      <c r="AC18" s="205">
        <f ca="1">SUMIF($H$1:$CA$1,"="&amp;$AC$17,$H$15:$CA$15)</f>
        <v>4748198032.9559994</v>
      </c>
      <c r="AD18" s="205">
        <f ca="1">SUMIF($H$1:$CA$1,"="&amp;$AD$17,$H$15:$CA$15)</f>
        <v>152536082.706</v>
      </c>
      <c r="AE18" s="205">
        <f ca="1">SUMIF($H$1:$CA$1,"="&amp;$AE$17,$H$15:$CA$15)</f>
        <v>152536082.706</v>
      </c>
      <c r="AF18" s="205">
        <f ca="1">SUMIF($H$1:$CA$1,"="&amp;$AF$17,$H$15:$CA$15)</f>
        <v>152536082.706</v>
      </c>
      <c r="AG18" s="205">
        <f ca="1">SUMIF($H$1:$CA$1,"="&amp;$AG$17,$H$15:$CA$15)</f>
        <v>152536082.706</v>
      </c>
      <c r="AH18" s="205">
        <f ca="1">SUMIF($H$1:$CA$1,"="&amp;$AH$17,$H$15:$CA$15)</f>
        <v>152536082.706</v>
      </c>
      <c r="AI18" s="205">
        <f ca="1">SUMIF($H$1:$CA$1,"="&amp;$AI$17,$H$15:$CA$15)</f>
        <v>152536082.706</v>
      </c>
      <c r="AJ18" s="205">
        <f ca="1">SUMIF($H$1:$CA$1,"="&amp;$AJ$17,$H$15:$CA$15)</f>
        <v>152536082.706</v>
      </c>
      <c r="AK18" s="205">
        <f ca="1">SUMIF($H$1:$CA$1,"="&amp;$AK$17,$H$15:$CA$15)</f>
        <v>152536082.706</v>
      </c>
      <c r="AL18" s="205">
        <f ca="1">SUMIF($H$1:$CA$1,"="&amp;$AL$17,$H$15:$CA$15)</f>
        <v>152536082.706</v>
      </c>
      <c r="AM18" s="205">
        <f ca="1">SUMIF($H$1:$CA$1,"="&amp;$AM$17,$H$15:$CA$15)</f>
        <v>152536082.706</v>
      </c>
      <c r="AN18" s="205">
        <f ca="1">SUMIF($H$1:$CA$1,"="&amp;$AN$17,$H$15:$CA$15)</f>
        <v>152536082.706</v>
      </c>
      <c r="AO18" s="205">
        <f ca="1">SUMIF($H$1:$CA$1,"="&amp;$AO$17,$H$15:$CA$15)</f>
        <v>152536082.706</v>
      </c>
      <c r="AP18" s="205">
        <f ca="1">SUMIF($H$1:$CA$1,"="&amp;$AP$17,$H$15:$CA$15)</f>
        <v>2348111041.3530002</v>
      </c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  <c r="BK18" s="205"/>
      <c r="BL18" s="205"/>
      <c r="BM18" s="205"/>
      <c r="BN18" s="205"/>
      <c r="BO18" s="205"/>
      <c r="BP18" s="205"/>
      <c r="BQ18" s="205"/>
      <c r="BR18" s="205"/>
      <c r="BS18" s="205"/>
      <c r="BT18" s="205"/>
      <c r="BU18" s="205"/>
      <c r="BV18" s="205"/>
      <c r="BW18" s="205"/>
      <c r="BX18" s="205"/>
      <c r="BY18" s="205"/>
      <c r="BZ18" s="205"/>
      <c r="CA18" s="205"/>
    </row>
    <row r="19" spans="5:79">
      <c r="E19" s="204"/>
      <c r="G19" s="205"/>
      <c r="H19" s="205"/>
      <c r="I19" s="205"/>
      <c r="J19" s="205"/>
      <c r="K19" s="205"/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  <c r="BK19" s="205"/>
      <c r="BL19" s="205"/>
      <c r="BM19" s="205"/>
      <c r="BN19" s="205"/>
      <c r="BO19" s="205"/>
      <c r="BP19" s="205"/>
      <c r="BQ19" s="205"/>
      <c r="BR19" s="205"/>
      <c r="BS19" s="205"/>
      <c r="BT19" s="205"/>
      <c r="BU19" s="205"/>
      <c r="BV19" s="205"/>
      <c r="BW19" s="205"/>
      <c r="BX19" s="205"/>
      <c r="BY19" s="205"/>
      <c r="BZ19" s="205"/>
      <c r="CA19" s="205"/>
    </row>
    <row r="20" spans="5:79">
      <c r="E20" s="204"/>
      <c r="G20" s="205"/>
      <c r="H20" s="205"/>
      <c r="I20" s="205"/>
      <c r="J20" s="205"/>
      <c r="K20" s="205"/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  <c r="BK20" s="205"/>
      <c r="BL20" s="205"/>
      <c r="BM20" s="205"/>
      <c r="BN20" s="205"/>
      <c r="BO20" s="205"/>
      <c r="BP20" s="205"/>
      <c r="BQ20" s="205"/>
      <c r="BR20" s="205"/>
      <c r="BS20" s="205"/>
      <c r="BT20" s="205"/>
      <c r="BU20" s="205"/>
      <c r="BV20" s="205"/>
      <c r="BW20" s="205"/>
      <c r="BX20" s="205"/>
      <c r="BY20" s="205"/>
      <c r="BZ20" s="205"/>
      <c r="CA20" s="205"/>
    </row>
    <row r="21" spans="5:79">
      <c r="E21" s="204"/>
      <c r="G21" s="205"/>
      <c r="H21" s="205"/>
      <c r="I21" s="205"/>
      <c r="J21" s="205"/>
      <c r="K21" s="205"/>
      <c r="L21" s="205"/>
      <c r="M21" s="205"/>
      <c r="N21" s="205"/>
      <c r="O21" s="205"/>
      <c r="P21" s="205"/>
      <c r="Q21" s="205"/>
      <c r="R21" s="205"/>
      <c r="S21" s="205"/>
      <c r="T21" s="205"/>
      <c r="U21" s="205"/>
      <c r="V21" s="205"/>
      <c r="W21" s="205"/>
      <c r="X21" s="205"/>
      <c r="Y21" s="205"/>
      <c r="Z21" s="205"/>
      <c r="AA21" s="205"/>
      <c r="AB21" s="205"/>
      <c r="AC21" s="205"/>
      <c r="AD21" s="205"/>
      <c r="AE21" s="205"/>
      <c r="AF21" s="205"/>
      <c r="AG21" s="205"/>
      <c r="AH21" s="205"/>
      <c r="AI21" s="205"/>
      <c r="AJ21" s="205"/>
      <c r="AK21" s="205"/>
      <c r="AL21" s="205"/>
      <c r="AM21" s="205"/>
      <c r="AN21" s="205"/>
      <c r="AO21" s="205"/>
      <c r="AP21" s="205"/>
      <c r="AQ21" s="205"/>
      <c r="AR21" s="205"/>
      <c r="AS21" s="205"/>
      <c r="AT21" s="205"/>
      <c r="AU21" s="205"/>
      <c r="AV21" s="205"/>
      <c r="AW21" s="205"/>
      <c r="AX21" s="205"/>
      <c r="AY21" s="205"/>
      <c r="AZ21" s="205"/>
      <c r="BA21" s="205"/>
      <c r="BB21" s="205"/>
      <c r="BC21" s="205"/>
      <c r="BD21" s="205"/>
      <c r="BE21" s="205"/>
      <c r="BF21" s="205"/>
      <c r="BG21" s="205"/>
      <c r="BH21" s="205"/>
      <c r="BI21" s="205"/>
      <c r="BJ21" s="205"/>
      <c r="BK21" s="205"/>
      <c r="BL21" s="205"/>
      <c r="BM21" s="205"/>
      <c r="BN21" s="205"/>
      <c r="BO21" s="205"/>
      <c r="BP21" s="205"/>
      <c r="BQ21" s="205"/>
      <c r="BR21" s="205"/>
      <c r="BS21" s="205"/>
      <c r="BT21" s="205"/>
      <c r="BU21" s="205"/>
      <c r="BV21" s="205"/>
      <c r="BW21" s="205"/>
      <c r="BX21" s="205"/>
      <c r="BY21" s="205"/>
      <c r="BZ21" s="205"/>
      <c r="CA21" s="205"/>
    </row>
    <row r="22" spans="5:79">
      <c r="E22" s="204"/>
      <c r="G22" s="205"/>
      <c r="H22" s="205"/>
      <c r="I22" s="205"/>
      <c r="J22" s="205"/>
      <c r="K22" s="205"/>
      <c r="L22" s="205"/>
      <c r="M22" s="205"/>
      <c r="N22" s="205"/>
      <c r="O22" s="205"/>
      <c r="P22" s="205"/>
      <c r="Q22" s="205"/>
      <c r="R22" s="205"/>
      <c r="S22" s="205"/>
      <c r="T22" s="205"/>
      <c r="U22" s="205"/>
      <c r="V22" s="205"/>
      <c r="W22" s="205"/>
      <c r="X22" s="205"/>
      <c r="Y22" s="205"/>
      <c r="Z22" s="205"/>
      <c r="AA22" s="205"/>
      <c r="AB22" s="205"/>
      <c r="AC22" s="205"/>
      <c r="AD22" s="205"/>
      <c r="AE22" s="205"/>
      <c r="AF22" s="205"/>
      <c r="AG22" s="205"/>
      <c r="AH22" s="205"/>
      <c r="AI22" s="205"/>
      <c r="AJ22" s="205"/>
      <c r="AK22" s="205"/>
      <c r="AL22" s="205"/>
      <c r="AM22" s="205"/>
      <c r="AN22" s="205"/>
      <c r="AO22" s="205"/>
      <c r="AP22" s="205"/>
      <c r="AQ22" s="205"/>
      <c r="AR22" s="205"/>
      <c r="AS22" s="205"/>
      <c r="AT22" s="205"/>
      <c r="AU22" s="205"/>
      <c r="AV22" s="205"/>
      <c r="AW22" s="205"/>
      <c r="AX22" s="205"/>
      <c r="AY22" s="205"/>
      <c r="AZ22" s="205"/>
      <c r="BA22" s="205"/>
      <c r="BB22" s="205"/>
      <c r="BC22" s="205"/>
      <c r="BD22" s="205"/>
      <c r="BE22" s="205"/>
      <c r="BF22" s="205"/>
      <c r="BG22" s="205"/>
      <c r="BH22" s="205"/>
      <c r="BI22" s="205"/>
      <c r="BJ22" s="205"/>
      <c r="BK22" s="205"/>
      <c r="BL22" s="205"/>
      <c r="BM22" s="205"/>
      <c r="BN22" s="205"/>
      <c r="BO22" s="205"/>
      <c r="BP22" s="205"/>
      <c r="BQ22" s="205"/>
      <c r="BR22" s="205"/>
      <c r="BS22" s="205"/>
      <c r="BT22" s="205"/>
      <c r="BU22" s="205"/>
      <c r="BV22" s="205"/>
      <c r="BW22" s="205"/>
      <c r="BX22" s="205"/>
      <c r="BY22" s="205"/>
      <c r="BZ22" s="205"/>
      <c r="CA22" s="205"/>
    </row>
    <row r="23" spans="5:79">
      <c r="E23" s="204"/>
      <c r="G23" s="205"/>
      <c r="H23" s="205"/>
      <c r="I23" s="205"/>
      <c r="J23" s="205"/>
      <c r="K23" s="205"/>
      <c r="L23" s="205"/>
      <c r="M23" s="205"/>
      <c r="N23" s="205"/>
      <c r="O23" s="205"/>
      <c r="P23" s="205"/>
      <c r="Q23" s="205"/>
      <c r="R23" s="205"/>
      <c r="S23" s="205"/>
      <c r="T23" s="205"/>
      <c r="U23" s="205"/>
      <c r="V23" s="205"/>
      <c r="W23" s="205"/>
      <c r="X23" s="205"/>
      <c r="Y23" s="205"/>
      <c r="Z23" s="205"/>
      <c r="AA23" s="205"/>
      <c r="AB23" s="205"/>
      <c r="AC23" s="205"/>
      <c r="AD23" s="205"/>
      <c r="AE23" s="205"/>
      <c r="AF23" s="205"/>
      <c r="AG23" s="205"/>
      <c r="AH23" s="205"/>
      <c r="AI23" s="205"/>
      <c r="AJ23" s="205"/>
      <c r="AK23" s="205"/>
      <c r="AL23" s="205"/>
      <c r="AM23" s="205"/>
      <c r="AN23" s="205"/>
      <c r="AO23" s="205"/>
      <c r="AP23" s="205"/>
      <c r="AQ23" s="205"/>
      <c r="AR23" s="205"/>
      <c r="AS23" s="205"/>
      <c r="AT23" s="205"/>
      <c r="AU23" s="205"/>
      <c r="AV23" s="205"/>
      <c r="AW23" s="205"/>
      <c r="AX23" s="205"/>
      <c r="AY23" s="205"/>
      <c r="AZ23" s="205"/>
      <c r="BA23" s="205"/>
      <c r="BB23" s="205"/>
      <c r="BC23" s="205"/>
      <c r="BD23" s="205"/>
      <c r="BE23" s="205"/>
      <c r="BF23" s="205"/>
      <c r="BG23" s="205"/>
      <c r="BH23" s="205"/>
      <c r="BI23" s="205"/>
      <c r="BJ23" s="205"/>
      <c r="BK23" s="205"/>
      <c r="BL23" s="205"/>
      <c r="BM23" s="205"/>
      <c r="BN23" s="205"/>
      <c r="BO23" s="205"/>
      <c r="BP23" s="205"/>
      <c r="BQ23" s="205"/>
      <c r="BR23" s="205"/>
      <c r="BS23" s="205"/>
      <c r="BT23" s="205"/>
      <c r="BU23" s="205"/>
      <c r="BV23" s="205"/>
      <c r="BW23" s="205"/>
      <c r="BX23" s="205"/>
      <c r="BY23" s="205"/>
      <c r="BZ23" s="205"/>
      <c r="CA23" s="205"/>
    </row>
    <row r="24" spans="5:79">
      <c r="E24" s="204"/>
      <c r="G24" s="205"/>
      <c r="H24" s="205"/>
      <c r="I24" s="205"/>
      <c r="J24" s="205"/>
      <c r="K24" s="205"/>
      <c r="L24" s="205"/>
      <c r="M24" s="205"/>
      <c r="N24" s="205"/>
      <c r="O24" s="205"/>
      <c r="P24" s="205"/>
      <c r="Q24" s="205"/>
      <c r="R24" s="205"/>
      <c r="S24" s="205"/>
      <c r="T24" s="205"/>
      <c r="U24" s="205"/>
      <c r="V24" s="205"/>
      <c r="W24" s="205"/>
      <c r="X24" s="205"/>
      <c r="Y24" s="205"/>
      <c r="Z24" s="205"/>
      <c r="AA24" s="205"/>
      <c r="AB24" s="205"/>
      <c r="AC24" s="205"/>
      <c r="AD24" s="205"/>
      <c r="AE24" s="205"/>
      <c r="AF24" s="205"/>
      <c r="AG24" s="205"/>
      <c r="AH24" s="205"/>
      <c r="AI24" s="205"/>
      <c r="AJ24" s="205"/>
      <c r="AK24" s="205"/>
      <c r="AL24" s="205"/>
      <c r="AM24" s="205"/>
      <c r="AN24" s="205"/>
      <c r="AO24" s="205"/>
      <c r="AP24" s="205"/>
      <c r="AQ24" s="205"/>
      <c r="AR24" s="205"/>
      <c r="AS24" s="205"/>
      <c r="AT24" s="205"/>
      <c r="AU24" s="205"/>
      <c r="AV24" s="205"/>
      <c r="AW24" s="205"/>
      <c r="AX24" s="205"/>
      <c r="AY24" s="205"/>
      <c r="AZ24" s="205"/>
      <c r="BA24" s="205"/>
      <c r="BB24" s="205"/>
      <c r="BC24" s="205"/>
      <c r="BD24" s="205"/>
      <c r="BE24" s="205"/>
      <c r="BF24" s="205"/>
      <c r="BG24" s="205"/>
      <c r="BH24" s="205"/>
      <c r="BI24" s="205"/>
      <c r="BJ24" s="205"/>
      <c r="BK24" s="205"/>
      <c r="BL24" s="205"/>
      <c r="BM24" s="205"/>
      <c r="BN24" s="205"/>
      <c r="BO24" s="205"/>
      <c r="BP24" s="205"/>
      <c r="BQ24" s="205"/>
      <c r="BR24" s="205"/>
      <c r="BS24" s="205"/>
      <c r="BT24" s="205"/>
      <c r="BU24" s="205"/>
      <c r="BV24" s="205"/>
      <c r="BW24" s="205"/>
      <c r="BX24" s="205"/>
      <c r="BY24" s="205"/>
      <c r="BZ24" s="205"/>
      <c r="CA24" s="205"/>
    </row>
    <row r="25" spans="5:79">
      <c r="E25" s="204"/>
      <c r="G25" s="205"/>
      <c r="H25" s="205"/>
      <c r="I25" s="205"/>
      <c r="J25" s="205"/>
      <c r="K25" s="205"/>
      <c r="L25" s="205"/>
      <c r="M25" s="205"/>
      <c r="N25" s="205"/>
      <c r="O25" s="205"/>
      <c r="P25" s="205"/>
      <c r="Q25" s="205"/>
      <c r="R25" s="205"/>
      <c r="S25" s="205"/>
      <c r="T25" s="205"/>
      <c r="U25" s="205"/>
      <c r="V25" s="205"/>
      <c r="W25" s="205"/>
      <c r="X25" s="205"/>
      <c r="Y25" s="205"/>
      <c r="Z25" s="205"/>
      <c r="AA25" s="205"/>
      <c r="AB25" s="205"/>
      <c r="AC25" s="205"/>
      <c r="AD25" s="205"/>
      <c r="AE25" s="205"/>
      <c r="AF25" s="205"/>
      <c r="AG25" s="205"/>
      <c r="AH25" s="205"/>
      <c r="AI25" s="205"/>
      <c r="AJ25" s="205"/>
      <c r="AK25" s="205"/>
      <c r="AL25" s="205"/>
      <c r="AM25" s="205"/>
      <c r="AN25" s="205"/>
      <c r="AO25" s="205"/>
      <c r="AP25" s="205"/>
      <c r="AQ25" s="205"/>
      <c r="AR25" s="205"/>
      <c r="AS25" s="205"/>
      <c r="AT25" s="205"/>
      <c r="AU25" s="205"/>
      <c r="AV25" s="205"/>
      <c r="AW25" s="205"/>
      <c r="AX25" s="205"/>
      <c r="AY25" s="205"/>
      <c r="AZ25" s="205"/>
      <c r="BA25" s="205"/>
      <c r="BB25" s="205"/>
      <c r="BC25" s="205"/>
      <c r="BD25" s="205"/>
      <c r="BE25" s="205"/>
      <c r="BF25" s="205"/>
      <c r="BG25" s="205"/>
      <c r="BH25" s="205"/>
      <c r="BI25" s="205"/>
      <c r="BJ25" s="205"/>
      <c r="BK25" s="205"/>
      <c r="BL25" s="205"/>
      <c r="BM25" s="205"/>
      <c r="BN25" s="205"/>
      <c r="BO25" s="205"/>
      <c r="BP25" s="205"/>
      <c r="BQ25" s="205"/>
      <c r="BR25" s="205"/>
      <c r="BS25" s="205"/>
      <c r="BT25" s="205"/>
      <c r="BU25" s="205"/>
      <c r="BV25" s="205"/>
      <c r="BW25" s="205"/>
      <c r="BX25" s="205"/>
      <c r="BY25" s="205"/>
      <c r="BZ25" s="205"/>
      <c r="CA25" s="205"/>
    </row>
    <row r="26" spans="5:79">
      <c r="E26" s="204"/>
      <c r="G26" s="205"/>
      <c r="H26" s="205"/>
      <c r="I26" s="205"/>
      <c r="J26" s="205"/>
      <c r="K26" s="205"/>
      <c r="L26" s="205"/>
      <c r="M26" s="205"/>
      <c r="N26" s="205"/>
      <c r="O26" s="205"/>
      <c r="P26" s="205"/>
      <c r="Q26" s="205"/>
      <c r="R26" s="205"/>
      <c r="S26" s="205"/>
      <c r="T26" s="205"/>
      <c r="U26" s="205"/>
      <c r="V26" s="205"/>
      <c r="W26" s="205"/>
      <c r="X26" s="205"/>
      <c r="Y26" s="205"/>
      <c r="Z26" s="205"/>
      <c r="AA26" s="205"/>
      <c r="AB26" s="205"/>
      <c r="AC26" s="205"/>
      <c r="AD26" s="205"/>
      <c r="AE26" s="205"/>
      <c r="AF26" s="205"/>
      <c r="AG26" s="205"/>
      <c r="AH26" s="205"/>
      <c r="AI26" s="205"/>
      <c r="AJ26" s="205"/>
      <c r="AK26" s="205"/>
      <c r="AL26" s="205"/>
      <c r="AM26" s="205"/>
      <c r="AN26" s="205"/>
      <c r="AO26" s="205"/>
      <c r="AP26" s="205"/>
      <c r="AQ26" s="205"/>
      <c r="AR26" s="205"/>
      <c r="AS26" s="205"/>
      <c r="AT26" s="205"/>
      <c r="AU26" s="205"/>
      <c r="AV26" s="205"/>
      <c r="AW26" s="205"/>
      <c r="AX26" s="205"/>
      <c r="AY26" s="205"/>
      <c r="AZ26" s="205"/>
      <c r="BA26" s="205"/>
      <c r="BB26" s="205"/>
      <c r="BC26" s="205"/>
      <c r="BD26" s="205"/>
      <c r="BE26" s="205"/>
      <c r="BF26" s="205"/>
      <c r="BG26" s="205"/>
      <c r="BH26" s="205"/>
      <c r="BI26" s="205"/>
      <c r="BJ26" s="205"/>
      <c r="BK26" s="205"/>
      <c r="BL26" s="205"/>
      <c r="BM26" s="205"/>
      <c r="BN26" s="205"/>
      <c r="BO26" s="205"/>
      <c r="BP26" s="205"/>
      <c r="BQ26" s="205"/>
      <c r="BR26" s="205"/>
      <c r="BS26" s="205"/>
      <c r="BT26" s="205"/>
      <c r="BU26" s="205"/>
      <c r="BV26" s="205"/>
      <c r="BW26" s="205"/>
      <c r="BX26" s="205"/>
      <c r="BY26" s="205"/>
      <c r="BZ26" s="205"/>
      <c r="CA26" s="205"/>
    </row>
    <row r="27" spans="5:79">
      <c r="E27" s="204"/>
      <c r="G27" s="205"/>
      <c r="H27" s="205"/>
      <c r="I27" s="205"/>
      <c r="J27" s="205"/>
      <c r="K27" s="205"/>
      <c r="L27" s="205"/>
      <c r="M27" s="205"/>
      <c r="N27" s="205"/>
      <c r="O27" s="205"/>
      <c r="P27" s="205"/>
      <c r="Q27" s="205"/>
      <c r="R27" s="205"/>
      <c r="S27" s="205"/>
      <c r="T27" s="205"/>
      <c r="U27" s="205"/>
      <c r="V27" s="205"/>
      <c r="W27" s="205"/>
      <c r="X27" s="205"/>
      <c r="Y27" s="205"/>
      <c r="Z27" s="205"/>
      <c r="AA27" s="205"/>
      <c r="AB27" s="205"/>
      <c r="AC27" s="205"/>
      <c r="AD27" s="205"/>
      <c r="AE27" s="205"/>
      <c r="AF27" s="205"/>
      <c r="AG27" s="205"/>
      <c r="AH27" s="205"/>
      <c r="AI27" s="205"/>
      <c r="AJ27" s="205"/>
      <c r="AK27" s="205"/>
      <c r="AL27" s="205"/>
      <c r="AM27" s="205"/>
      <c r="AN27" s="205"/>
      <c r="AO27" s="205"/>
      <c r="AP27" s="205"/>
      <c r="AQ27" s="205"/>
      <c r="AR27" s="205"/>
      <c r="AS27" s="205"/>
      <c r="AT27" s="205"/>
      <c r="AU27" s="205"/>
      <c r="AV27" s="205"/>
      <c r="AW27" s="205"/>
      <c r="AX27" s="205"/>
      <c r="AY27" s="205"/>
      <c r="AZ27" s="205"/>
      <c r="BA27" s="205"/>
      <c r="BB27" s="205"/>
      <c r="BC27" s="205"/>
      <c r="BD27" s="205"/>
      <c r="BE27" s="205"/>
      <c r="BF27" s="205"/>
      <c r="BG27" s="205"/>
      <c r="BH27" s="205"/>
      <c r="BI27" s="205"/>
      <c r="BJ27" s="205"/>
      <c r="BK27" s="205"/>
      <c r="BL27" s="205"/>
      <c r="BM27" s="205"/>
      <c r="BN27" s="205"/>
      <c r="BO27" s="205"/>
      <c r="BP27" s="205"/>
      <c r="BQ27" s="205"/>
      <c r="BR27" s="205"/>
      <c r="BS27" s="205"/>
      <c r="BT27" s="205"/>
      <c r="BU27" s="205"/>
      <c r="BV27" s="205"/>
      <c r="BW27" s="205"/>
      <c r="BX27" s="205"/>
      <c r="BY27" s="205"/>
      <c r="BZ27" s="205"/>
      <c r="CA27" s="205"/>
    </row>
    <row r="28" spans="5:79">
      <c r="E28" s="204"/>
      <c r="G28" s="205"/>
      <c r="H28" s="205"/>
      <c r="I28" s="205"/>
      <c r="J28" s="205"/>
      <c r="K28" s="205"/>
      <c r="L28" s="205"/>
      <c r="M28" s="205"/>
      <c r="N28" s="205"/>
      <c r="O28" s="205"/>
      <c r="P28" s="205"/>
      <c r="Q28" s="205"/>
      <c r="R28" s="205"/>
      <c r="S28" s="205"/>
      <c r="T28" s="205"/>
      <c r="U28" s="205"/>
      <c r="V28" s="205"/>
      <c r="W28" s="205"/>
      <c r="X28" s="205"/>
      <c r="Y28" s="205"/>
      <c r="Z28" s="205"/>
      <c r="AA28" s="205"/>
      <c r="AB28" s="205"/>
      <c r="AC28" s="205"/>
      <c r="AD28" s="205"/>
      <c r="AE28" s="205"/>
      <c r="AF28" s="205"/>
      <c r="AG28" s="205"/>
      <c r="AH28" s="205"/>
      <c r="AI28" s="205"/>
      <c r="AJ28" s="205"/>
      <c r="AK28" s="205"/>
      <c r="AL28" s="205"/>
      <c r="AM28" s="205"/>
      <c r="AN28" s="205"/>
      <c r="AO28" s="205"/>
      <c r="AP28" s="205"/>
      <c r="AQ28" s="205"/>
      <c r="AR28" s="205"/>
      <c r="AS28" s="205"/>
      <c r="AT28" s="205"/>
      <c r="AU28" s="205"/>
      <c r="AV28" s="205"/>
      <c r="AW28" s="205"/>
      <c r="AX28" s="205"/>
      <c r="AY28" s="205"/>
      <c r="AZ28" s="205"/>
      <c r="BA28" s="205"/>
      <c r="BB28" s="205"/>
      <c r="BC28" s="205"/>
      <c r="BD28" s="205"/>
      <c r="BE28" s="205"/>
      <c r="BF28" s="205"/>
      <c r="BG28" s="205"/>
      <c r="BH28" s="205"/>
      <c r="BI28" s="205"/>
      <c r="BJ28" s="205"/>
      <c r="BK28" s="205"/>
      <c r="BL28" s="205"/>
      <c r="BM28" s="205"/>
      <c r="BN28" s="205"/>
      <c r="BO28" s="205"/>
      <c r="BP28" s="205"/>
      <c r="BQ28" s="205"/>
      <c r="BR28" s="205"/>
      <c r="BS28" s="205"/>
      <c r="BT28" s="205"/>
      <c r="BU28" s="205"/>
      <c r="BV28" s="205"/>
      <c r="BW28" s="205"/>
      <c r="BX28" s="205"/>
      <c r="BY28" s="205"/>
      <c r="BZ28" s="205"/>
      <c r="CA28" s="205"/>
    </row>
    <row r="29" spans="5:79">
      <c r="E29" s="204"/>
      <c r="G29" s="205"/>
      <c r="H29" s="205"/>
      <c r="I29" s="205"/>
      <c r="J29" s="205"/>
      <c r="K29" s="205"/>
      <c r="L29" s="205"/>
      <c r="M29" s="205"/>
      <c r="N29" s="205"/>
      <c r="O29" s="205"/>
      <c r="P29" s="205"/>
      <c r="Q29" s="205"/>
      <c r="R29" s="205"/>
      <c r="S29" s="205"/>
      <c r="T29" s="205"/>
      <c r="U29" s="205"/>
      <c r="V29" s="205"/>
      <c r="W29" s="205"/>
      <c r="X29" s="205"/>
      <c r="Y29" s="205"/>
      <c r="Z29" s="205"/>
      <c r="AA29" s="205"/>
      <c r="AB29" s="205"/>
      <c r="AC29" s="205"/>
      <c r="AD29" s="205"/>
      <c r="AE29" s="205"/>
      <c r="AF29" s="205"/>
      <c r="AG29" s="205"/>
      <c r="AH29" s="205"/>
      <c r="AI29" s="205"/>
      <c r="AJ29" s="205"/>
      <c r="AK29" s="205"/>
      <c r="AL29" s="205"/>
      <c r="AM29" s="205"/>
      <c r="AN29" s="205"/>
      <c r="AO29" s="205"/>
      <c r="AP29" s="205"/>
      <c r="AQ29" s="205"/>
      <c r="AR29" s="205"/>
      <c r="AS29" s="205"/>
      <c r="AT29" s="205"/>
      <c r="AU29" s="205"/>
      <c r="AV29" s="205"/>
      <c r="AW29" s="205"/>
      <c r="AX29" s="205"/>
      <c r="AY29" s="205"/>
      <c r="AZ29" s="205"/>
      <c r="BA29" s="205"/>
      <c r="BB29" s="205"/>
      <c r="BC29" s="205"/>
      <c r="BD29" s="205"/>
      <c r="BE29" s="205"/>
      <c r="BF29" s="205"/>
      <c r="BG29" s="205"/>
      <c r="BH29" s="205"/>
      <c r="BI29" s="205"/>
      <c r="BJ29" s="205"/>
      <c r="BK29" s="205"/>
      <c r="BL29" s="205"/>
      <c r="BM29" s="205"/>
      <c r="BN29" s="205"/>
      <c r="BO29" s="205"/>
      <c r="BP29" s="205"/>
      <c r="BQ29" s="205"/>
      <c r="BR29" s="205"/>
      <c r="BS29" s="205"/>
      <c r="BT29" s="205"/>
      <c r="BU29" s="205"/>
      <c r="BV29" s="205"/>
      <c r="BW29" s="205"/>
      <c r="BX29" s="205"/>
      <c r="BY29" s="205"/>
      <c r="BZ29" s="205"/>
      <c r="CA29" s="205"/>
    </row>
    <row r="30" spans="5:79">
      <c r="E30" s="204"/>
      <c r="G30" s="205"/>
      <c r="H30" s="205"/>
      <c r="I30" s="205"/>
      <c r="J30" s="205"/>
      <c r="K30" s="205"/>
      <c r="L30" s="205"/>
      <c r="M30" s="205"/>
      <c r="N30" s="205"/>
      <c r="O30" s="205"/>
      <c r="P30" s="205"/>
      <c r="Q30" s="205"/>
      <c r="R30" s="205"/>
      <c r="S30" s="205"/>
      <c r="T30" s="205"/>
      <c r="U30" s="205"/>
      <c r="V30" s="205"/>
      <c r="W30" s="205"/>
      <c r="X30" s="205"/>
      <c r="Y30" s="205"/>
      <c r="Z30" s="205"/>
      <c r="AA30" s="205"/>
      <c r="AB30" s="205"/>
      <c r="AC30" s="205"/>
      <c r="AD30" s="205"/>
      <c r="AE30" s="205"/>
      <c r="AF30" s="205"/>
      <c r="AG30" s="205"/>
      <c r="AH30" s="205"/>
      <c r="AI30" s="205"/>
      <c r="AJ30" s="205"/>
      <c r="AK30" s="205"/>
      <c r="AL30" s="205"/>
      <c r="AM30" s="205"/>
      <c r="AN30" s="205"/>
      <c r="AO30" s="205"/>
      <c r="AP30" s="205"/>
      <c r="AQ30" s="205"/>
      <c r="AR30" s="205"/>
      <c r="AS30" s="205"/>
      <c r="AT30" s="205"/>
      <c r="AU30" s="205"/>
      <c r="AV30" s="205"/>
      <c r="AW30" s="205"/>
      <c r="AX30" s="205"/>
      <c r="AY30" s="205"/>
      <c r="AZ30" s="205"/>
      <c r="BA30" s="205"/>
      <c r="BB30" s="205"/>
      <c r="BC30" s="205"/>
      <c r="BD30" s="205"/>
      <c r="BE30" s="205"/>
      <c r="BF30" s="205"/>
      <c r="BG30" s="205"/>
      <c r="BH30" s="205"/>
      <c r="BI30" s="205"/>
      <c r="BJ30" s="205"/>
      <c r="BK30" s="205"/>
      <c r="BL30" s="205"/>
      <c r="BM30" s="205"/>
      <c r="BN30" s="205"/>
      <c r="BO30" s="205"/>
      <c r="BP30" s="205"/>
      <c r="BQ30" s="205"/>
      <c r="BR30" s="205"/>
      <c r="BS30" s="205"/>
      <c r="BT30" s="205"/>
      <c r="BU30" s="205"/>
      <c r="BV30" s="205"/>
      <c r="BW30" s="205"/>
      <c r="BX30" s="205"/>
      <c r="BY30" s="205"/>
      <c r="BZ30" s="205"/>
      <c r="CA30" s="205"/>
    </row>
    <row r="31" spans="5:79">
      <c r="E31" s="204"/>
      <c r="G31" s="205"/>
      <c r="H31" s="205"/>
      <c r="I31" s="205"/>
      <c r="J31" s="205"/>
      <c r="K31" s="205"/>
      <c r="L31" s="205"/>
      <c r="M31" s="205"/>
      <c r="N31" s="205"/>
      <c r="O31" s="205"/>
      <c r="P31" s="205"/>
      <c r="Q31" s="205"/>
      <c r="R31" s="205"/>
      <c r="S31" s="205"/>
      <c r="T31" s="205"/>
      <c r="U31" s="205"/>
      <c r="V31" s="205"/>
      <c r="W31" s="205"/>
      <c r="X31" s="205"/>
      <c r="Y31" s="205"/>
      <c r="Z31" s="205"/>
      <c r="AA31" s="205"/>
      <c r="AB31" s="205"/>
      <c r="AC31" s="205"/>
      <c r="AD31" s="205"/>
      <c r="AE31" s="205"/>
      <c r="AF31" s="205"/>
      <c r="AG31" s="205"/>
      <c r="AH31" s="205"/>
      <c r="AI31" s="205"/>
      <c r="AJ31" s="205"/>
      <c r="AK31" s="205"/>
      <c r="AL31" s="205"/>
      <c r="AM31" s="205"/>
      <c r="AN31" s="205"/>
      <c r="AO31" s="205"/>
      <c r="AP31" s="205"/>
      <c r="AQ31" s="205"/>
      <c r="AR31" s="205"/>
      <c r="AS31" s="205"/>
      <c r="AT31" s="205"/>
      <c r="AU31" s="205"/>
      <c r="AV31" s="205"/>
      <c r="AW31" s="205"/>
      <c r="AX31" s="205"/>
      <c r="AY31" s="205"/>
      <c r="AZ31" s="205"/>
      <c r="BA31" s="205"/>
      <c r="BB31" s="205"/>
      <c r="BC31" s="205"/>
      <c r="BD31" s="205"/>
      <c r="BE31" s="205"/>
      <c r="BF31" s="205"/>
      <c r="BG31" s="205"/>
      <c r="BH31" s="205"/>
      <c r="BI31" s="205"/>
      <c r="BJ31" s="205"/>
      <c r="BK31" s="205"/>
      <c r="BL31" s="205"/>
      <c r="BM31" s="205"/>
      <c r="BN31" s="205"/>
      <c r="BO31" s="205"/>
      <c r="BP31" s="205"/>
      <c r="BQ31" s="205"/>
      <c r="BR31" s="205"/>
      <c r="BS31" s="205"/>
      <c r="BT31" s="205"/>
      <c r="BU31" s="205"/>
      <c r="BV31" s="205"/>
      <c r="BW31" s="205"/>
      <c r="BX31" s="205"/>
      <c r="BY31" s="205"/>
      <c r="BZ31" s="205"/>
      <c r="CA31" s="205"/>
    </row>
    <row r="32" spans="5:79">
      <c r="E32" s="204"/>
      <c r="G32" s="205"/>
      <c r="H32" s="205"/>
      <c r="I32" s="205"/>
      <c r="J32" s="205"/>
      <c r="K32" s="205"/>
      <c r="L32" s="205"/>
      <c r="M32" s="205"/>
      <c r="N32" s="205"/>
      <c r="O32" s="205"/>
      <c r="P32" s="205"/>
      <c r="Q32" s="205"/>
      <c r="R32" s="205"/>
      <c r="S32" s="205"/>
      <c r="T32" s="205"/>
      <c r="U32" s="205"/>
      <c r="V32" s="205"/>
      <c r="W32" s="205"/>
      <c r="X32" s="205"/>
      <c r="Y32" s="205"/>
      <c r="Z32" s="205"/>
      <c r="AA32" s="205"/>
      <c r="AB32" s="205"/>
      <c r="AC32" s="205"/>
      <c r="AD32" s="205"/>
      <c r="AE32" s="205"/>
      <c r="AF32" s="205"/>
      <c r="AG32" s="205"/>
      <c r="AH32" s="205"/>
      <c r="AI32" s="205"/>
      <c r="AJ32" s="205"/>
      <c r="AK32" s="205"/>
      <c r="AL32" s="205"/>
      <c r="AM32" s="205"/>
      <c r="AN32" s="205"/>
      <c r="AO32" s="205"/>
      <c r="AP32" s="205"/>
      <c r="AQ32" s="205"/>
      <c r="AR32" s="205"/>
      <c r="AS32" s="205"/>
      <c r="AT32" s="205"/>
      <c r="AU32" s="205"/>
      <c r="AV32" s="205"/>
      <c r="AW32" s="205"/>
      <c r="AX32" s="205"/>
      <c r="AY32" s="205"/>
      <c r="AZ32" s="205"/>
      <c r="BA32" s="205"/>
      <c r="BB32" s="205"/>
      <c r="BC32" s="205"/>
      <c r="BD32" s="205"/>
      <c r="BE32" s="205"/>
      <c r="BF32" s="205"/>
      <c r="BG32" s="205"/>
      <c r="BH32" s="205"/>
      <c r="BI32" s="205"/>
      <c r="BJ32" s="205"/>
      <c r="BK32" s="205"/>
      <c r="BL32" s="205"/>
      <c r="BM32" s="205"/>
      <c r="BN32" s="205"/>
      <c r="BO32" s="205"/>
      <c r="BP32" s="205"/>
      <c r="BQ32" s="205"/>
      <c r="BR32" s="205"/>
      <c r="BS32" s="205"/>
      <c r="BT32" s="205"/>
      <c r="BU32" s="205"/>
      <c r="BV32" s="205"/>
      <c r="BW32" s="205"/>
      <c r="BX32" s="205"/>
      <c r="BY32" s="205"/>
      <c r="BZ32" s="205"/>
      <c r="CA32" s="205"/>
    </row>
    <row r="33" spans="5:79">
      <c r="E33" s="204"/>
      <c r="G33" s="205"/>
      <c r="H33" s="205"/>
      <c r="I33" s="205"/>
      <c r="J33" s="205"/>
      <c r="K33" s="205"/>
      <c r="L33" s="205"/>
      <c r="M33" s="205"/>
      <c r="N33" s="205"/>
      <c r="O33" s="205"/>
      <c r="P33" s="205"/>
      <c r="Q33" s="205"/>
      <c r="R33" s="205"/>
      <c r="S33" s="205"/>
      <c r="T33" s="205"/>
      <c r="U33" s="205"/>
      <c r="V33" s="205"/>
      <c r="W33" s="205"/>
      <c r="X33" s="205"/>
      <c r="Y33" s="205"/>
      <c r="Z33" s="205"/>
      <c r="AA33" s="205"/>
      <c r="AB33" s="205"/>
      <c r="AC33" s="205"/>
      <c r="AD33" s="205"/>
      <c r="AE33" s="205"/>
      <c r="AF33" s="205"/>
      <c r="AG33" s="205"/>
      <c r="AH33" s="205"/>
      <c r="AI33" s="205"/>
      <c r="AJ33" s="205"/>
      <c r="AK33" s="205"/>
      <c r="AL33" s="205"/>
      <c r="AM33" s="205"/>
      <c r="AN33" s="205"/>
      <c r="AO33" s="205"/>
      <c r="AP33" s="205"/>
      <c r="AQ33" s="205"/>
      <c r="AR33" s="205"/>
      <c r="AS33" s="205"/>
      <c r="AT33" s="205"/>
      <c r="AU33" s="205"/>
      <c r="AV33" s="205"/>
      <c r="AW33" s="205"/>
      <c r="AX33" s="205"/>
      <c r="AY33" s="205"/>
      <c r="AZ33" s="205"/>
      <c r="BA33" s="205"/>
      <c r="BB33" s="205"/>
      <c r="BC33" s="205"/>
      <c r="BD33" s="205"/>
      <c r="BE33" s="205"/>
      <c r="BF33" s="205"/>
      <c r="BG33" s="205"/>
      <c r="BH33" s="205"/>
      <c r="BI33" s="205"/>
      <c r="BJ33" s="205"/>
      <c r="BK33" s="205"/>
      <c r="BL33" s="205"/>
      <c r="BM33" s="205"/>
      <c r="BN33" s="205"/>
      <c r="BO33" s="205"/>
      <c r="BP33" s="205"/>
      <c r="BQ33" s="205"/>
      <c r="BR33" s="205"/>
      <c r="BS33" s="205"/>
      <c r="BT33" s="205"/>
      <c r="BU33" s="205"/>
      <c r="BV33" s="205"/>
      <c r="BW33" s="205"/>
      <c r="BX33" s="205"/>
      <c r="BY33" s="205"/>
      <c r="BZ33" s="205"/>
      <c r="CA33" s="205"/>
    </row>
    <row r="34" spans="5:79">
      <c r="E34" s="204"/>
      <c r="G34" s="205"/>
      <c r="H34" s="205"/>
      <c r="I34" s="205"/>
      <c r="J34" s="205"/>
      <c r="K34" s="205"/>
      <c r="L34" s="205"/>
      <c r="M34" s="205"/>
      <c r="N34" s="205"/>
      <c r="O34" s="205"/>
      <c r="P34" s="205"/>
      <c r="Q34" s="205"/>
      <c r="R34" s="205"/>
      <c r="S34" s="205"/>
      <c r="T34" s="205"/>
      <c r="U34" s="205"/>
      <c r="V34" s="205"/>
      <c r="W34" s="205"/>
      <c r="X34" s="205"/>
      <c r="Y34" s="205"/>
      <c r="Z34" s="205"/>
      <c r="AA34" s="205"/>
      <c r="AB34" s="205"/>
      <c r="AC34" s="205"/>
      <c r="AD34" s="205"/>
      <c r="AE34" s="205"/>
      <c r="AF34" s="205"/>
      <c r="AG34" s="205"/>
      <c r="AH34" s="205"/>
      <c r="AI34" s="205"/>
      <c r="AJ34" s="205"/>
      <c r="AK34" s="205"/>
      <c r="AL34" s="205"/>
      <c r="AM34" s="205"/>
      <c r="AN34" s="205"/>
      <c r="AO34" s="205"/>
      <c r="AP34" s="205"/>
      <c r="AQ34" s="205"/>
      <c r="AR34" s="205"/>
      <c r="AS34" s="205"/>
      <c r="AT34" s="205"/>
      <c r="AU34" s="205"/>
      <c r="AV34" s="205"/>
      <c r="AW34" s="205"/>
      <c r="AX34" s="205"/>
      <c r="AY34" s="205"/>
      <c r="AZ34" s="205"/>
      <c r="BA34" s="205"/>
      <c r="BB34" s="205"/>
      <c r="BC34" s="205"/>
      <c r="BD34" s="205"/>
      <c r="BE34" s="205"/>
      <c r="BF34" s="205"/>
      <c r="BG34" s="205"/>
      <c r="BH34" s="205"/>
      <c r="BI34" s="205"/>
      <c r="BJ34" s="205"/>
      <c r="BK34" s="205"/>
      <c r="BL34" s="205"/>
      <c r="BM34" s="205"/>
      <c r="BN34" s="205"/>
      <c r="BO34" s="205"/>
      <c r="BP34" s="205"/>
      <c r="BQ34" s="205"/>
      <c r="BR34" s="205"/>
      <c r="BS34" s="205"/>
      <c r="BT34" s="205"/>
      <c r="BU34" s="205"/>
      <c r="BV34" s="205"/>
      <c r="BW34" s="205"/>
      <c r="BX34" s="205"/>
      <c r="BY34" s="205"/>
      <c r="BZ34" s="205"/>
      <c r="CA34" s="205"/>
    </row>
    <row r="35" spans="5:79">
      <c r="E35" s="204"/>
      <c r="G35" s="205"/>
      <c r="H35" s="205"/>
      <c r="I35" s="205"/>
      <c r="J35" s="205"/>
      <c r="K35" s="205"/>
      <c r="L35" s="205"/>
      <c r="M35" s="205"/>
      <c r="N35" s="205"/>
      <c r="O35" s="205"/>
      <c r="P35" s="205"/>
      <c r="Q35" s="205"/>
      <c r="R35" s="205"/>
      <c r="S35" s="205"/>
      <c r="T35" s="205"/>
      <c r="U35" s="205"/>
      <c r="V35" s="205"/>
      <c r="W35" s="205"/>
      <c r="X35" s="205"/>
      <c r="Y35" s="205"/>
      <c r="Z35" s="205"/>
      <c r="AA35" s="205"/>
      <c r="AB35" s="205"/>
      <c r="AC35" s="205"/>
      <c r="AD35" s="205"/>
      <c r="AE35" s="205"/>
      <c r="AF35" s="205"/>
      <c r="AG35" s="205"/>
      <c r="AH35" s="205"/>
      <c r="AI35" s="205"/>
      <c r="AJ35" s="205"/>
      <c r="AK35" s="205"/>
      <c r="AL35" s="205"/>
      <c r="AM35" s="205"/>
      <c r="AN35" s="205"/>
      <c r="AO35" s="205"/>
      <c r="AP35" s="205"/>
      <c r="AQ35" s="205"/>
      <c r="AR35" s="205"/>
      <c r="AS35" s="205"/>
      <c r="AT35" s="205"/>
      <c r="AU35" s="205"/>
      <c r="AV35" s="205"/>
      <c r="AW35" s="205"/>
      <c r="AX35" s="205"/>
      <c r="AY35" s="205"/>
      <c r="AZ35" s="205"/>
      <c r="BA35" s="205"/>
      <c r="BB35" s="205"/>
      <c r="BC35" s="205"/>
      <c r="BD35" s="205"/>
      <c r="BE35" s="205"/>
      <c r="BF35" s="205"/>
      <c r="BG35" s="205"/>
      <c r="BH35" s="205"/>
      <c r="BI35" s="205"/>
      <c r="BJ35" s="205"/>
      <c r="BK35" s="205"/>
      <c r="BL35" s="205"/>
      <c r="BM35" s="205"/>
      <c r="BN35" s="205"/>
      <c r="BO35" s="205"/>
      <c r="BP35" s="205"/>
      <c r="BQ35" s="205"/>
      <c r="BR35" s="205"/>
      <c r="BS35" s="205"/>
      <c r="BT35" s="205"/>
      <c r="BU35" s="205"/>
      <c r="BV35" s="205"/>
      <c r="BW35" s="205"/>
      <c r="BX35" s="205"/>
      <c r="BY35" s="205"/>
      <c r="BZ35" s="205"/>
      <c r="CA35" s="205"/>
    </row>
    <row r="36" spans="5:79">
      <c r="E36" s="204"/>
      <c r="G36" s="205"/>
      <c r="H36" s="205"/>
      <c r="I36" s="205"/>
      <c r="J36" s="205"/>
      <c r="K36" s="205"/>
      <c r="L36" s="205"/>
      <c r="M36" s="205"/>
      <c r="N36" s="205"/>
      <c r="O36" s="205"/>
      <c r="P36" s="205"/>
      <c r="Q36" s="205"/>
      <c r="R36" s="205"/>
      <c r="S36" s="205"/>
      <c r="T36" s="205"/>
      <c r="U36" s="205"/>
      <c r="V36" s="205"/>
      <c r="W36" s="205"/>
      <c r="X36" s="205"/>
      <c r="Y36" s="205"/>
      <c r="Z36" s="205"/>
      <c r="AA36" s="205"/>
      <c r="AB36" s="205"/>
      <c r="AC36" s="205"/>
      <c r="AD36" s="205"/>
      <c r="AE36" s="205"/>
      <c r="AF36" s="205"/>
      <c r="AG36" s="205"/>
      <c r="AH36" s="205"/>
      <c r="AI36" s="205"/>
      <c r="AJ36" s="205"/>
      <c r="AK36" s="205"/>
      <c r="AL36" s="205"/>
      <c r="AM36" s="205"/>
      <c r="AN36" s="205"/>
      <c r="AO36" s="205"/>
      <c r="AP36" s="205"/>
      <c r="AQ36" s="205"/>
      <c r="AR36" s="205"/>
      <c r="AS36" s="205"/>
      <c r="AT36" s="205"/>
      <c r="AU36" s="205"/>
      <c r="AV36" s="205"/>
      <c r="AW36" s="205"/>
      <c r="AX36" s="205"/>
      <c r="AY36" s="205"/>
      <c r="AZ36" s="205"/>
      <c r="BA36" s="205"/>
      <c r="BB36" s="205"/>
      <c r="BC36" s="205"/>
      <c r="BD36" s="205"/>
      <c r="BE36" s="205"/>
      <c r="BF36" s="205"/>
      <c r="BG36" s="205"/>
      <c r="BH36" s="205"/>
      <c r="BI36" s="205"/>
      <c r="BJ36" s="205"/>
      <c r="BK36" s="205"/>
      <c r="BL36" s="205"/>
      <c r="BM36" s="205"/>
      <c r="BN36" s="205"/>
      <c r="BO36" s="205"/>
      <c r="BP36" s="205"/>
      <c r="BQ36" s="205"/>
      <c r="BR36" s="205"/>
      <c r="BS36" s="205"/>
      <c r="BT36" s="205"/>
      <c r="BU36" s="205"/>
      <c r="BV36" s="205"/>
      <c r="BW36" s="205"/>
      <c r="BX36" s="205"/>
      <c r="BY36" s="205"/>
      <c r="BZ36" s="205"/>
      <c r="CA36" s="205"/>
    </row>
    <row r="37" spans="5:79">
      <c r="E37" s="204"/>
      <c r="G37" s="205"/>
      <c r="H37" s="205"/>
      <c r="I37" s="205"/>
      <c r="J37" s="205"/>
      <c r="K37" s="205"/>
      <c r="L37" s="205"/>
      <c r="M37" s="205"/>
      <c r="N37" s="205"/>
      <c r="O37" s="205"/>
      <c r="P37" s="205"/>
      <c r="Q37" s="205"/>
      <c r="R37" s="205"/>
      <c r="S37" s="205"/>
      <c r="T37" s="205"/>
      <c r="U37" s="205"/>
      <c r="V37" s="205"/>
      <c r="W37" s="205"/>
      <c r="X37" s="205"/>
      <c r="Y37" s="205"/>
      <c r="Z37" s="205"/>
      <c r="AA37" s="205"/>
      <c r="AB37" s="205"/>
      <c r="AC37" s="205"/>
      <c r="AD37" s="205"/>
      <c r="AE37" s="205"/>
      <c r="AF37" s="205"/>
      <c r="AG37" s="205"/>
      <c r="AH37" s="205"/>
      <c r="AI37" s="205"/>
      <c r="AJ37" s="205"/>
      <c r="AK37" s="205"/>
      <c r="AL37" s="205"/>
      <c r="AM37" s="205"/>
      <c r="AN37" s="205"/>
      <c r="AO37" s="205"/>
      <c r="AP37" s="205"/>
      <c r="AQ37" s="205"/>
      <c r="AR37" s="205"/>
      <c r="AS37" s="205"/>
      <c r="AT37" s="205"/>
      <c r="AU37" s="205"/>
      <c r="AV37" s="205"/>
      <c r="AW37" s="205"/>
      <c r="AX37" s="205"/>
      <c r="AY37" s="205"/>
      <c r="AZ37" s="205"/>
      <c r="BA37" s="205"/>
      <c r="BB37" s="205"/>
      <c r="BC37" s="205"/>
      <c r="BD37" s="205"/>
      <c r="BE37" s="205"/>
      <c r="BF37" s="205"/>
      <c r="BG37" s="205"/>
      <c r="BH37" s="205"/>
      <c r="BI37" s="205"/>
      <c r="BJ37" s="205"/>
      <c r="BK37" s="205"/>
      <c r="BL37" s="205"/>
      <c r="BM37" s="205"/>
      <c r="BN37" s="205"/>
      <c r="BO37" s="205"/>
      <c r="BP37" s="205"/>
      <c r="BQ37" s="205"/>
      <c r="BR37" s="205"/>
      <c r="BS37" s="205"/>
      <c r="BT37" s="205"/>
      <c r="BU37" s="205"/>
      <c r="BV37" s="205"/>
      <c r="BW37" s="205"/>
      <c r="BX37" s="205"/>
      <c r="BY37" s="205"/>
      <c r="BZ37" s="205"/>
      <c r="CA37" s="205"/>
    </row>
    <row r="38" spans="5:79">
      <c r="E38" s="204"/>
      <c r="G38" s="205"/>
      <c r="H38" s="205"/>
      <c r="I38" s="205"/>
      <c r="J38" s="205"/>
      <c r="K38" s="205"/>
      <c r="L38" s="205"/>
      <c r="M38" s="205"/>
      <c r="N38" s="205"/>
      <c r="O38" s="205"/>
      <c r="P38" s="205"/>
      <c r="Q38" s="205"/>
      <c r="R38" s="205"/>
      <c r="S38" s="205"/>
      <c r="T38" s="205"/>
      <c r="U38" s="205"/>
      <c r="V38" s="205"/>
      <c r="W38" s="205"/>
      <c r="X38" s="205"/>
      <c r="Y38" s="205"/>
      <c r="Z38" s="205"/>
      <c r="AA38" s="205"/>
      <c r="AB38" s="205"/>
      <c r="AC38" s="205"/>
      <c r="AD38" s="205"/>
      <c r="AE38" s="205"/>
      <c r="AF38" s="205"/>
      <c r="AG38" s="205"/>
      <c r="AH38" s="205"/>
      <c r="AI38" s="205"/>
      <c r="AJ38" s="205"/>
      <c r="AK38" s="205"/>
      <c r="AL38" s="205"/>
      <c r="AM38" s="205"/>
      <c r="AN38" s="205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5"/>
      <c r="AZ38" s="205"/>
      <c r="BA38" s="205"/>
      <c r="BB38" s="205"/>
      <c r="BC38" s="205"/>
      <c r="BD38" s="205"/>
      <c r="BE38" s="205"/>
      <c r="BF38" s="205"/>
      <c r="BG38" s="205"/>
      <c r="BH38" s="205"/>
      <c r="BI38" s="205"/>
      <c r="BJ38" s="205"/>
      <c r="BK38" s="205"/>
      <c r="BL38" s="205"/>
      <c r="BM38" s="205"/>
      <c r="BN38" s="205"/>
      <c r="BO38" s="205"/>
      <c r="BP38" s="205"/>
      <c r="BQ38" s="205"/>
      <c r="BR38" s="205"/>
      <c r="BS38" s="205"/>
      <c r="BT38" s="205"/>
      <c r="BU38" s="205"/>
      <c r="BV38" s="205"/>
      <c r="BW38" s="205"/>
      <c r="BX38" s="205"/>
      <c r="BY38" s="205"/>
      <c r="BZ38" s="205"/>
      <c r="CA38" s="205"/>
    </row>
    <row r="39" spans="5:79">
      <c r="E39" s="204"/>
      <c r="G39" s="205"/>
      <c r="H39" s="205"/>
      <c r="I39" s="205"/>
      <c r="J39" s="205"/>
      <c r="K39" s="205"/>
      <c r="L39" s="205"/>
      <c r="M39" s="205"/>
      <c r="N39" s="205"/>
      <c r="O39" s="205"/>
      <c r="P39" s="205"/>
      <c r="Q39" s="205"/>
      <c r="R39" s="205"/>
      <c r="S39" s="205"/>
      <c r="T39" s="205"/>
      <c r="U39" s="205"/>
      <c r="V39" s="205"/>
      <c r="W39" s="205"/>
      <c r="X39" s="205"/>
      <c r="Y39" s="205"/>
      <c r="Z39" s="205"/>
      <c r="AA39" s="205"/>
      <c r="AB39" s="205"/>
      <c r="AC39" s="205"/>
      <c r="AD39" s="205"/>
      <c r="AE39" s="205"/>
      <c r="AF39" s="205"/>
      <c r="AG39" s="205"/>
      <c r="AH39" s="205"/>
      <c r="AI39" s="205"/>
      <c r="AJ39" s="205"/>
      <c r="AK39" s="205"/>
      <c r="AL39" s="205"/>
      <c r="AM39" s="205"/>
      <c r="AN39" s="205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5"/>
      <c r="AZ39" s="205"/>
      <c r="BA39" s="205"/>
      <c r="BB39" s="205"/>
      <c r="BC39" s="205"/>
      <c r="BD39" s="205"/>
      <c r="BE39" s="205"/>
      <c r="BF39" s="205"/>
      <c r="BG39" s="205"/>
      <c r="BH39" s="205"/>
      <c r="BI39" s="205"/>
      <c r="BJ39" s="205"/>
      <c r="BK39" s="205"/>
      <c r="BL39" s="205"/>
      <c r="BM39" s="205"/>
      <c r="BN39" s="205"/>
      <c r="BO39" s="205"/>
      <c r="BP39" s="205"/>
      <c r="BQ39" s="205"/>
      <c r="BR39" s="205"/>
      <c r="BS39" s="205"/>
      <c r="BT39" s="205"/>
      <c r="BU39" s="205"/>
      <c r="BV39" s="205"/>
      <c r="BW39" s="205"/>
      <c r="BX39" s="205"/>
      <c r="BY39" s="205"/>
      <c r="BZ39" s="205"/>
      <c r="CA39" s="205"/>
    </row>
    <row r="40" spans="5:79">
      <c r="E40" s="204"/>
      <c r="G40" s="205"/>
      <c r="H40" s="205"/>
      <c r="I40" s="205"/>
      <c r="J40" s="205"/>
      <c r="K40" s="205"/>
      <c r="L40" s="205"/>
      <c r="M40" s="205"/>
      <c r="N40" s="205"/>
      <c r="O40" s="205"/>
      <c r="P40" s="205"/>
      <c r="Q40" s="205"/>
      <c r="R40" s="205"/>
      <c r="S40" s="205"/>
      <c r="T40" s="205"/>
      <c r="U40" s="205"/>
      <c r="V40" s="205"/>
      <c r="W40" s="205"/>
      <c r="X40" s="205"/>
      <c r="Y40" s="205"/>
      <c r="Z40" s="205"/>
      <c r="AA40" s="205"/>
      <c r="AB40" s="205"/>
      <c r="AC40" s="205"/>
      <c r="AD40" s="205"/>
      <c r="AE40" s="205"/>
      <c r="AF40" s="205"/>
      <c r="AG40" s="205"/>
      <c r="AH40" s="205"/>
      <c r="AI40" s="205"/>
      <c r="AJ40" s="205"/>
      <c r="AK40" s="205"/>
      <c r="AL40" s="205"/>
      <c r="AM40" s="205"/>
      <c r="AN40" s="205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5"/>
      <c r="AZ40" s="205"/>
      <c r="BA40" s="205"/>
      <c r="BB40" s="205"/>
      <c r="BC40" s="205"/>
      <c r="BD40" s="205"/>
      <c r="BE40" s="205"/>
      <c r="BF40" s="205"/>
      <c r="BG40" s="205"/>
      <c r="BH40" s="205"/>
      <c r="BI40" s="205"/>
      <c r="BJ40" s="205"/>
      <c r="BK40" s="205"/>
      <c r="BL40" s="205"/>
      <c r="BM40" s="205"/>
      <c r="BN40" s="205"/>
      <c r="BO40" s="205"/>
      <c r="BP40" s="205"/>
      <c r="BQ40" s="205"/>
      <c r="BR40" s="205"/>
      <c r="BS40" s="205"/>
      <c r="BT40" s="205"/>
      <c r="BU40" s="205"/>
      <c r="BV40" s="205"/>
      <c r="BW40" s="205"/>
      <c r="BX40" s="205"/>
      <c r="BY40" s="205"/>
      <c r="BZ40" s="205"/>
      <c r="CA40" s="205"/>
    </row>
    <row r="41" spans="5:79">
      <c r="E41" s="204"/>
      <c r="G41" s="205"/>
      <c r="H41" s="205"/>
      <c r="I41" s="205"/>
      <c r="J41" s="205"/>
      <c r="K41" s="205"/>
      <c r="L41" s="205"/>
      <c r="M41" s="205"/>
      <c r="N41" s="205"/>
      <c r="O41" s="205"/>
      <c r="P41" s="205"/>
      <c r="Q41" s="205"/>
      <c r="R41" s="205"/>
      <c r="S41" s="205"/>
      <c r="T41" s="205"/>
      <c r="U41" s="205"/>
      <c r="V41" s="205"/>
      <c r="W41" s="205"/>
      <c r="X41" s="205"/>
      <c r="Y41" s="205"/>
      <c r="Z41" s="205"/>
      <c r="AA41" s="205"/>
      <c r="AB41" s="205"/>
      <c r="AC41" s="205"/>
      <c r="AD41" s="205"/>
      <c r="AE41" s="205"/>
      <c r="AF41" s="205"/>
      <c r="AG41" s="205"/>
      <c r="AH41" s="205"/>
      <c r="AI41" s="205"/>
      <c r="AJ41" s="205"/>
      <c r="AK41" s="205"/>
      <c r="AL41" s="205"/>
      <c r="AM41" s="205"/>
      <c r="AN41" s="205"/>
      <c r="AO41" s="205"/>
      <c r="AP41" s="205"/>
      <c r="AQ41" s="205"/>
      <c r="AR41" s="205"/>
      <c r="AS41" s="205"/>
      <c r="AT41" s="205"/>
      <c r="AU41" s="205"/>
      <c r="AV41" s="205"/>
      <c r="AW41" s="205"/>
      <c r="AX41" s="205"/>
      <c r="AY41" s="205"/>
      <c r="AZ41" s="205"/>
      <c r="BA41" s="205"/>
      <c r="BB41" s="205"/>
      <c r="BC41" s="205"/>
      <c r="BD41" s="205"/>
      <c r="BE41" s="205"/>
      <c r="BF41" s="205"/>
      <c r="BG41" s="205"/>
      <c r="BH41" s="205"/>
      <c r="BI41" s="205"/>
      <c r="BJ41" s="205"/>
      <c r="BK41" s="205"/>
      <c r="BL41" s="205"/>
      <c r="BM41" s="205"/>
      <c r="BN41" s="205"/>
      <c r="BO41" s="205"/>
      <c r="BP41" s="205"/>
      <c r="BQ41" s="205"/>
      <c r="BR41" s="205"/>
      <c r="BS41" s="205"/>
      <c r="BT41" s="205"/>
      <c r="BU41" s="205"/>
      <c r="BV41" s="205"/>
      <c r="BW41" s="205"/>
      <c r="BX41" s="205"/>
      <c r="BY41" s="205"/>
      <c r="BZ41" s="205"/>
      <c r="CA41" s="205"/>
    </row>
    <row r="42" spans="5:79">
      <c r="E42" s="204"/>
      <c r="G42" s="205"/>
      <c r="H42" s="205"/>
      <c r="I42" s="205"/>
      <c r="J42" s="205"/>
      <c r="K42" s="205"/>
      <c r="L42" s="205"/>
      <c r="M42" s="205"/>
      <c r="N42" s="205"/>
      <c r="O42" s="205"/>
      <c r="P42" s="205"/>
      <c r="Q42" s="205"/>
      <c r="R42" s="205"/>
      <c r="S42" s="205"/>
      <c r="T42" s="205"/>
      <c r="U42" s="205"/>
      <c r="V42" s="205"/>
      <c r="W42" s="205"/>
      <c r="X42" s="205"/>
      <c r="Y42" s="205"/>
      <c r="Z42" s="205"/>
      <c r="AA42" s="205"/>
      <c r="AB42" s="205"/>
      <c r="AC42" s="205"/>
      <c r="AD42" s="205"/>
      <c r="AE42" s="205"/>
      <c r="AF42" s="205"/>
      <c r="AG42" s="205"/>
      <c r="AH42" s="205"/>
      <c r="AI42" s="205"/>
      <c r="AJ42" s="205"/>
      <c r="AK42" s="205"/>
      <c r="AL42" s="205"/>
      <c r="AM42" s="205"/>
      <c r="AN42" s="205"/>
      <c r="AO42" s="205"/>
      <c r="AP42" s="205"/>
      <c r="AQ42" s="205"/>
      <c r="AR42" s="205"/>
      <c r="AS42" s="205"/>
      <c r="AT42" s="205"/>
      <c r="AU42" s="205"/>
      <c r="AV42" s="205"/>
      <c r="AW42" s="205"/>
      <c r="AX42" s="205"/>
      <c r="AY42" s="205"/>
      <c r="AZ42" s="205"/>
      <c r="BA42" s="205"/>
      <c r="BB42" s="205"/>
      <c r="BC42" s="205"/>
      <c r="BD42" s="205"/>
      <c r="BE42" s="205"/>
      <c r="BF42" s="205"/>
      <c r="BG42" s="205"/>
      <c r="BH42" s="205"/>
      <c r="BI42" s="205"/>
      <c r="BJ42" s="205"/>
      <c r="BK42" s="205"/>
      <c r="BL42" s="205"/>
      <c r="BM42" s="205"/>
      <c r="BN42" s="205"/>
      <c r="BO42" s="205"/>
      <c r="BP42" s="205"/>
      <c r="BQ42" s="205"/>
      <c r="BR42" s="205"/>
      <c r="BS42" s="205"/>
      <c r="BT42" s="205"/>
      <c r="BU42" s="205"/>
      <c r="BV42" s="205"/>
      <c r="BW42" s="205"/>
      <c r="BX42" s="205"/>
      <c r="BY42" s="205"/>
      <c r="BZ42" s="205"/>
      <c r="CA42" s="205"/>
    </row>
    <row r="43" spans="5:79">
      <c r="E43" s="204"/>
      <c r="G43" s="205"/>
      <c r="H43" s="205"/>
      <c r="I43" s="205"/>
      <c r="J43" s="205"/>
      <c r="K43" s="205"/>
      <c r="L43" s="205"/>
      <c r="M43" s="205"/>
      <c r="N43" s="205"/>
      <c r="O43" s="205"/>
      <c r="P43" s="205"/>
      <c r="Q43" s="205"/>
      <c r="R43" s="205"/>
      <c r="S43" s="205"/>
      <c r="T43" s="205"/>
      <c r="U43" s="205"/>
      <c r="V43" s="205"/>
      <c r="W43" s="205"/>
      <c r="X43" s="205"/>
      <c r="Y43" s="205"/>
      <c r="Z43" s="205"/>
      <c r="AA43" s="205"/>
      <c r="AB43" s="205"/>
      <c r="AC43" s="205"/>
      <c r="AD43" s="205"/>
      <c r="AE43" s="205"/>
      <c r="AF43" s="205"/>
      <c r="AG43" s="205"/>
      <c r="AH43" s="205"/>
      <c r="AI43" s="205"/>
      <c r="AJ43" s="205"/>
      <c r="AK43" s="205"/>
      <c r="AL43" s="205"/>
      <c r="AM43" s="205"/>
      <c r="AN43" s="205"/>
      <c r="AO43" s="205"/>
      <c r="AP43" s="205"/>
      <c r="AQ43" s="205"/>
      <c r="AR43" s="205"/>
      <c r="AS43" s="205"/>
      <c r="AT43" s="205"/>
      <c r="AU43" s="205"/>
      <c r="AV43" s="205"/>
      <c r="AW43" s="205"/>
      <c r="AX43" s="205"/>
      <c r="AY43" s="205"/>
      <c r="AZ43" s="205"/>
      <c r="BA43" s="205"/>
      <c r="BB43" s="205"/>
      <c r="BC43" s="205"/>
      <c r="BD43" s="205"/>
      <c r="BE43" s="205"/>
      <c r="BF43" s="205"/>
      <c r="BG43" s="205"/>
      <c r="BH43" s="205"/>
      <c r="BI43" s="205"/>
      <c r="BJ43" s="205"/>
      <c r="BK43" s="205"/>
      <c r="BL43" s="205"/>
      <c r="BM43" s="205"/>
      <c r="BN43" s="205"/>
      <c r="BO43" s="205"/>
      <c r="BP43" s="205"/>
      <c r="BQ43" s="205"/>
      <c r="BR43" s="205"/>
      <c r="BS43" s="205"/>
      <c r="BT43" s="205"/>
      <c r="BU43" s="205"/>
      <c r="BV43" s="205"/>
      <c r="BW43" s="205"/>
      <c r="BX43" s="205"/>
      <c r="BY43" s="205"/>
      <c r="BZ43" s="205"/>
      <c r="CA43" s="205"/>
    </row>
    <row r="44" spans="5:79">
      <c r="E44" s="204"/>
      <c r="G44" s="205"/>
      <c r="H44" s="205"/>
      <c r="I44" s="205"/>
      <c r="J44" s="205"/>
      <c r="K44" s="205"/>
      <c r="L44" s="205"/>
      <c r="M44" s="205"/>
      <c r="N44" s="205"/>
      <c r="O44" s="205"/>
      <c r="P44" s="205"/>
      <c r="Q44" s="205"/>
      <c r="R44" s="205"/>
      <c r="S44" s="205"/>
      <c r="T44" s="205"/>
      <c r="U44" s="205"/>
      <c r="V44" s="205"/>
      <c r="W44" s="205"/>
      <c r="X44" s="205"/>
      <c r="Y44" s="205"/>
      <c r="Z44" s="205"/>
      <c r="AA44" s="205"/>
      <c r="AB44" s="205"/>
      <c r="AC44" s="205"/>
      <c r="AD44" s="205"/>
      <c r="AE44" s="205"/>
      <c r="AF44" s="205"/>
      <c r="AG44" s="205"/>
      <c r="AH44" s="205"/>
      <c r="AI44" s="205"/>
      <c r="AJ44" s="205"/>
      <c r="AK44" s="205"/>
      <c r="AL44" s="205"/>
      <c r="AM44" s="205"/>
      <c r="AN44" s="205"/>
      <c r="AO44" s="205"/>
      <c r="AP44" s="205"/>
      <c r="AQ44" s="205"/>
      <c r="AR44" s="205"/>
      <c r="AS44" s="205"/>
      <c r="AT44" s="205"/>
      <c r="AU44" s="205"/>
      <c r="AV44" s="205"/>
      <c r="AW44" s="205"/>
      <c r="AX44" s="205"/>
      <c r="AY44" s="205"/>
      <c r="AZ44" s="205"/>
      <c r="BA44" s="205"/>
      <c r="BB44" s="205"/>
      <c r="BC44" s="205"/>
      <c r="BD44" s="205"/>
      <c r="BE44" s="205"/>
      <c r="BF44" s="205"/>
      <c r="BG44" s="205"/>
      <c r="BH44" s="205"/>
      <c r="BI44" s="205"/>
      <c r="BJ44" s="205"/>
      <c r="BK44" s="205"/>
      <c r="BL44" s="205"/>
      <c r="BM44" s="205"/>
      <c r="BN44" s="205"/>
      <c r="BO44" s="205"/>
      <c r="BP44" s="205"/>
      <c r="BQ44" s="205"/>
      <c r="BR44" s="205"/>
      <c r="BS44" s="205"/>
      <c r="BT44" s="205"/>
      <c r="BU44" s="205"/>
      <c r="BV44" s="205"/>
      <c r="BW44" s="205"/>
      <c r="BX44" s="205"/>
      <c r="BY44" s="205"/>
      <c r="BZ44" s="205"/>
      <c r="CA44" s="205"/>
    </row>
    <row r="45" spans="5:79">
      <c r="E45" s="204"/>
      <c r="G45" s="205"/>
      <c r="H45" s="205"/>
      <c r="I45" s="205"/>
      <c r="J45" s="205"/>
      <c r="K45" s="205"/>
      <c r="L45" s="205"/>
      <c r="M45" s="205"/>
      <c r="N45" s="205"/>
      <c r="O45" s="205"/>
      <c r="P45" s="205"/>
      <c r="Q45" s="205"/>
      <c r="R45" s="205"/>
      <c r="S45" s="205"/>
      <c r="T45" s="205"/>
      <c r="U45" s="205"/>
      <c r="V45" s="205"/>
      <c r="W45" s="205"/>
      <c r="X45" s="205"/>
      <c r="Y45" s="205"/>
      <c r="Z45" s="205"/>
      <c r="AA45" s="205"/>
      <c r="AB45" s="205"/>
      <c r="AC45" s="205"/>
      <c r="AD45" s="205"/>
      <c r="AE45" s="205"/>
      <c r="AF45" s="205"/>
      <c r="AG45" s="205"/>
      <c r="AH45" s="205"/>
      <c r="AI45" s="205"/>
      <c r="AJ45" s="205"/>
      <c r="AK45" s="205"/>
      <c r="AL45" s="205"/>
      <c r="AM45" s="205"/>
      <c r="AN45" s="205"/>
      <c r="AO45" s="205"/>
      <c r="AP45" s="205"/>
      <c r="AQ45" s="205"/>
      <c r="AR45" s="205"/>
      <c r="AS45" s="205"/>
      <c r="AT45" s="205"/>
      <c r="AU45" s="205"/>
      <c r="AV45" s="205"/>
      <c r="AW45" s="205"/>
      <c r="AX45" s="205"/>
      <c r="AY45" s="205"/>
      <c r="AZ45" s="205"/>
      <c r="BA45" s="205"/>
      <c r="BB45" s="205"/>
      <c r="BC45" s="205"/>
      <c r="BD45" s="205"/>
      <c r="BE45" s="205"/>
      <c r="BF45" s="205"/>
      <c r="BG45" s="205"/>
      <c r="BH45" s="205"/>
      <c r="BI45" s="205"/>
      <c r="BJ45" s="205"/>
      <c r="BK45" s="205"/>
      <c r="BL45" s="205"/>
      <c r="BM45" s="205"/>
      <c r="BN45" s="205"/>
      <c r="BO45" s="205"/>
      <c r="BP45" s="205"/>
      <c r="BQ45" s="205"/>
      <c r="BR45" s="205"/>
      <c r="BS45" s="205"/>
      <c r="BT45" s="205"/>
      <c r="BU45" s="205"/>
      <c r="BV45" s="205"/>
      <c r="BW45" s="205"/>
      <c r="BX45" s="205"/>
      <c r="BY45" s="205"/>
      <c r="BZ45" s="205"/>
      <c r="CA45" s="205"/>
    </row>
    <row r="46" spans="5:79">
      <c r="E46" s="204"/>
      <c r="G46" s="205"/>
      <c r="H46" s="205"/>
      <c r="I46" s="205"/>
      <c r="J46" s="205"/>
      <c r="K46" s="205"/>
      <c r="L46" s="205"/>
      <c r="M46" s="205"/>
      <c r="N46" s="205"/>
      <c r="O46" s="205"/>
      <c r="P46" s="205"/>
      <c r="Q46" s="205"/>
      <c r="R46" s="205"/>
      <c r="S46" s="205"/>
      <c r="T46" s="205"/>
      <c r="U46" s="205"/>
      <c r="V46" s="205"/>
      <c r="W46" s="205"/>
      <c r="X46" s="205"/>
      <c r="Y46" s="205"/>
      <c r="Z46" s="205"/>
      <c r="AA46" s="205"/>
      <c r="AB46" s="205"/>
      <c r="AC46" s="205"/>
      <c r="AD46" s="205"/>
      <c r="AE46" s="205"/>
      <c r="AF46" s="205"/>
      <c r="AG46" s="205"/>
      <c r="AH46" s="205"/>
      <c r="AI46" s="205"/>
      <c r="AJ46" s="205"/>
      <c r="AK46" s="205"/>
      <c r="AL46" s="205"/>
      <c r="AM46" s="205"/>
      <c r="AN46" s="205"/>
      <c r="AO46" s="205"/>
      <c r="AP46" s="205"/>
      <c r="AQ46" s="205"/>
      <c r="AR46" s="205"/>
      <c r="AS46" s="205"/>
      <c r="AT46" s="205"/>
      <c r="AU46" s="205"/>
      <c r="AV46" s="205"/>
      <c r="AW46" s="205"/>
      <c r="AX46" s="205"/>
      <c r="AY46" s="205"/>
      <c r="AZ46" s="205"/>
      <c r="BA46" s="205"/>
      <c r="BB46" s="205"/>
      <c r="BC46" s="205"/>
      <c r="BD46" s="205"/>
      <c r="BE46" s="205"/>
      <c r="BF46" s="205"/>
      <c r="BG46" s="205"/>
      <c r="BH46" s="205"/>
      <c r="BI46" s="205"/>
      <c r="BJ46" s="205"/>
      <c r="BK46" s="205"/>
      <c r="BL46" s="205"/>
      <c r="BM46" s="205"/>
      <c r="BN46" s="205"/>
      <c r="BO46" s="205"/>
      <c r="BP46" s="205"/>
      <c r="BQ46" s="205"/>
      <c r="BR46" s="205"/>
      <c r="BS46" s="205"/>
      <c r="BT46" s="205"/>
      <c r="BU46" s="205"/>
      <c r="BV46" s="205"/>
      <c r="BW46" s="205"/>
      <c r="BX46" s="205"/>
      <c r="BY46" s="205"/>
      <c r="BZ46" s="205"/>
      <c r="CA46" s="205"/>
    </row>
    <row r="47" spans="5:79">
      <c r="E47" s="204"/>
      <c r="G47" s="205"/>
      <c r="H47" s="205"/>
      <c r="I47" s="205"/>
      <c r="J47" s="205"/>
      <c r="K47" s="205"/>
      <c r="L47" s="205"/>
      <c r="M47" s="205"/>
      <c r="N47" s="205"/>
      <c r="O47" s="205"/>
      <c r="P47" s="205"/>
      <c r="Q47" s="205"/>
      <c r="R47" s="205"/>
      <c r="S47" s="205"/>
      <c r="T47" s="205"/>
      <c r="U47" s="205"/>
      <c r="V47" s="205"/>
      <c r="W47" s="205"/>
      <c r="X47" s="205"/>
      <c r="Y47" s="205"/>
      <c r="Z47" s="205"/>
      <c r="AA47" s="205"/>
      <c r="AB47" s="205"/>
      <c r="AC47" s="205"/>
      <c r="AD47" s="205"/>
      <c r="AE47" s="205"/>
      <c r="AF47" s="205"/>
      <c r="AG47" s="205"/>
      <c r="AH47" s="205"/>
      <c r="AI47" s="205"/>
      <c r="AJ47" s="205"/>
      <c r="AK47" s="205"/>
      <c r="AL47" s="205"/>
      <c r="AM47" s="205"/>
      <c r="AN47" s="205"/>
      <c r="AO47" s="205"/>
      <c r="AP47" s="205"/>
      <c r="AQ47" s="205"/>
      <c r="AR47" s="205"/>
      <c r="AS47" s="205"/>
      <c r="AT47" s="205"/>
      <c r="AU47" s="205"/>
      <c r="AV47" s="205"/>
      <c r="AW47" s="205"/>
      <c r="AX47" s="205"/>
      <c r="AY47" s="205"/>
      <c r="AZ47" s="205"/>
      <c r="BA47" s="205"/>
      <c r="BB47" s="205"/>
      <c r="BC47" s="205"/>
      <c r="BD47" s="205"/>
      <c r="BE47" s="205"/>
      <c r="BF47" s="205"/>
      <c r="BG47" s="205"/>
      <c r="BH47" s="205"/>
      <c r="BI47" s="205"/>
      <c r="BJ47" s="205"/>
      <c r="BK47" s="205"/>
      <c r="BL47" s="205"/>
      <c r="BM47" s="205"/>
      <c r="BN47" s="205"/>
      <c r="BO47" s="205"/>
      <c r="BP47" s="205"/>
      <c r="BQ47" s="205"/>
      <c r="BR47" s="205"/>
      <c r="BS47" s="205"/>
      <c r="BT47" s="205"/>
      <c r="BU47" s="205"/>
      <c r="BV47" s="205"/>
      <c r="BW47" s="205"/>
      <c r="BX47" s="205"/>
      <c r="BY47" s="205"/>
      <c r="BZ47" s="205"/>
      <c r="CA47" s="205"/>
    </row>
    <row r="48" spans="5:79">
      <c r="E48" s="204"/>
      <c r="G48" s="205"/>
      <c r="H48" s="205"/>
      <c r="I48" s="205"/>
      <c r="J48" s="205"/>
      <c r="K48" s="205"/>
      <c r="L48" s="205"/>
      <c r="M48" s="205"/>
      <c r="N48" s="205"/>
      <c r="O48" s="205"/>
      <c r="P48" s="205"/>
      <c r="Q48" s="205"/>
      <c r="R48" s="205"/>
      <c r="S48" s="205"/>
      <c r="T48" s="205"/>
      <c r="U48" s="205"/>
      <c r="V48" s="205"/>
      <c r="W48" s="205"/>
      <c r="X48" s="205"/>
      <c r="Y48" s="205"/>
      <c r="Z48" s="205"/>
      <c r="AA48" s="205"/>
      <c r="AB48" s="205"/>
      <c r="AC48" s="205"/>
      <c r="AD48" s="205"/>
      <c r="AE48" s="205"/>
      <c r="AF48" s="205"/>
      <c r="AG48" s="205"/>
      <c r="AH48" s="205"/>
      <c r="AI48" s="205"/>
      <c r="AJ48" s="205"/>
      <c r="AK48" s="205"/>
      <c r="AL48" s="205"/>
      <c r="AM48" s="205"/>
      <c r="AN48" s="205"/>
      <c r="AO48" s="205"/>
      <c r="AP48" s="205"/>
      <c r="AQ48" s="205"/>
      <c r="AR48" s="205"/>
      <c r="AS48" s="205"/>
      <c r="AT48" s="205"/>
      <c r="AU48" s="205"/>
      <c r="AV48" s="205"/>
      <c r="AW48" s="205"/>
      <c r="AX48" s="205"/>
      <c r="AY48" s="205"/>
      <c r="AZ48" s="205"/>
      <c r="BA48" s="205"/>
      <c r="BB48" s="205"/>
      <c r="BC48" s="205"/>
      <c r="BD48" s="205"/>
      <c r="BE48" s="205"/>
      <c r="BF48" s="205"/>
      <c r="BG48" s="205"/>
      <c r="BH48" s="205"/>
      <c r="BI48" s="205"/>
      <c r="BJ48" s="205"/>
      <c r="BK48" s="205"/>
      <c r="BL48" s="205"/>
      <c r="BM48" s="205"/>
      <c r="BN48" s="205"/>
      <c r="BO48" s="205"/>
      <c r="BP48" s="205"/>
      <c r="BQ48" s="205"/>
      <c r="BR48" s="205"/>
      <c r="BS48" s="205"/>
      <c r="BT48" s="205"/>
      <c r="BU48" s="205"/>
      <c r="BV48" s="205"/>
      <c r="BW48" s="205"/>
      <c r="BX48" s="205"/>
      <c r="BY48" s="205"/>
      <c r="BZ48" s="205"/>
      <c r="CA48" s="205"/>
    </row>
    <row r="49" spans="5:79">
      <c r="E49" s="204"/>
      <c r="G49" s="205"/>
      <c r="H49" s="205"/>
      <c r="I49" s="205"/>
      <c r="J49" s="205"/>
      <c r="K49" s="205"/>
      <c r="L49" s="205"/>
      <c r="M49" s="205"/>
      <c r="N49" s="205"/>
      <c r="O49" s="205"/>
      <c r="P49" s="205"/>
      <c r="Q49" s="205"/>
      <c r="R49" s="205"/>
      <c r="S49" s="205"/>
      <c r="T49" s="205"/>
      <c r="U49" s="205"/>
      <c r="V49" s="205"/>
      <c r="W49" s="205"/>
      <c r="X49" s="205"/>
      <c r="Y49" s="205"/>
      <c r="Z49" s="205"/>
      <c r="AA49" s="205"/>
      <c r="AB49" s="205"/>
      <c r="AC49" s="205"/>
      <c r="AD49" s="205"/>
      <c r="AE49" s="205"/>
      <c r="AF49" s="205"/>
      <c r="AG49" s="205"/>
      <c r="AH49" s="205"/>
      <c r="AI49" s="205"/>
      <c r="AJ49" s="205"/>
      <c r="AK49" s="205"/>
      <c r="AL49" s="205"/>
      <c r="AM49" s="205"/>
      <c r="AN49" s="205"/>
      <c r="AO49" s="205"/>
      <c r="AP49" s="205"/>
      <c r="AQ49" s="205"/>
      <c r="AR49" s="205"/>
      <c r="AS49" s="205"/>
      <c r="AT49" s="205"/>
      <c r="AU49" s="205"/>
      <c r="AV49" s="205"/>
      <c r="AW49" s="205"/>
      <c r="AX49" s="205"/>
      <c r="AY49" s="205"/>
      <c r="AZ49" s="205"/>
      <c r="BA49" s="205"/>
      <c r="BB49" s="205"/>
      <c r="BC49" s="205"/>
      <c r="BD49" s="205"/>
      <c r="BE49" s="205"/>
      <c r="BF49" s="205"/>
      <c r="BG49" s="205"/>
      <c r="BH49" s="205"/>
      <c r="BI49" s="205"/>
      <c r="BJ49" s="205"/>
      <c r="BK49" s="205"/>
      <c r="BL49" s="205"/>
      <c r="BM49" s="205"/>
      <c r="BN49" s="205"/>
      <c r="BO49" s="205"/>
      <c r="BP49" s="205"/>
      <c r="BQ49" s="205"/>
      <c r="BR49" s="205"/>
      <c r="BS49" s="205"/>
      <c r="BT49" s="205"/>
      <c r="BU49" s="205"/>
      <c r="BV49" s="205"/>
      <c r="BW49" s="205"/>
      <c r="BX49" s="205"/>
      <c r="BY49" s="205"/>
      <c r="BZ49" s="205"/>
      <c r="CA49" s="205"/>
    </row>
    <row r="50" spans="5:79">
      <c r="E50" s="204"/>
      <c r="G50" s="205"/>
      <c r="H50" s="205"/>
      <c r="I50" s="205"/>
      <c r="J50" s="205"/>
      <c r="K50" s="205"/>
      <c r="L50" s="205"/>
      <c r="M50" s="205"/>
      <c r="N50" s="205"/>
      <c r="O50" s="205"/>
      <c r="P50" s="205"/>
      <c r="Q50" s="205"/>
      <c r="R50" s="205"/>
      <c r="S50" s="205"/>
      <c r="T50" s="205"/>
      <c r="U50" s="205"/>
      <c r="V50" s="205"/>
      <c r="W50" s="205"/>
      <c r="X50" s="205"/>
      <c r="Y50" s="205"/>
      <c r="Z50" s="205"/>
      <c r="AA50" s="205"/>
      <c r="AB50" s="205"/>
      <c r="AC50" s="205"/>
      <c r="AD50" s="205"/>
      <c r="AE50" s="205"/>
      <c r="AF50" s="205"/>
      <c r="AG50" s="205"/>
      <c r="AH50" s="205"/>
      <c r="AI50" s="205"/>
      <c r="AJ50" s="205"/>
      <c r="AK50" s="205"/>
      <c r="AL50" s="205"/>
      <c r="AM50" s="205"/>
      <c r="AN50" s="205"/>
      <c r="AO50" s="205"/>
      <c r="AP50" s="205"/>
      <c r="AQ50" s="205"/>
      <c r="AR50" s="205"/>
      <c r="AS50" s="205"/>
      <c r="AT50" s="205"/>
      <c r="AU50" s="205"/>
      <c r="AV50" s="205"/>
      <c r="AW50" s="205"/>
      <c r="AX50" s="205"/>
      <c r="AY50" s="205"/>
      <c r="AZ50" s="205"/>
      <c r="BA50" s="205"/>
      <c r="BB50" s="205"/>
      <c r="BC50" s="205"/>
      <c r="BD50" s="205"/>
      <c r="BE50" s="205"/>
      <c r="BF50" s="205"/>
      <c r="BG50" s="205"/>
      <c r="BH50" s="205"/>
      <c r="BI50" s="205"/>
      <c r="BJ50" s="205"/>
      <c r="BK50" s="205"/>
      <c r="BL50" s="205"/>
      <c r="BM50" s="205"/>
      <c r="BN50" s="205"/>
      <c r="BO50" s="205"/>
      <c r="BP50" s="205"/>
      <c r="BQ50" s="205"/>
      <c r="BR50" s="205"/>
      <c r="BS50" s="205"/>
      <c r="BT50" s="205"/>
      <c r="BU50" s="205"/>
      <c r="BV50" s="205"/>
      <c r="BW50" s="205"/>
      <c r="BX50" s="205"/>
      <c r="BY50" s="205"/>
      <c r="BZ50" s="205"/>
      <c r="CA50" s="205"/>
    </row>
    <row r="51" spans="5:79">
      <c r="E51" s="204"/>
      <c r="G51" s="205"/>
      <c r="H51" s="205"/>
      <c r="I51" s="205"/>
      <c r="J51" s="205"/>
      <c r="K51" s="205"/>
      <c r="L51" s="205"/>
      <c r="M51" s="205"/>
      <c r="N51" s="205"/>
      <c r="O51" s="205"/>
      <c r="P51" s="205"/>
      <c r="Q51" s="205"/>
      <c r="R51" s="205"/>
      <c r="S51" s="205"/>
      <c r="T51" s="205"/>
      <c r="U51" s="205"/>
      <c r="V51" s="205"/>
      <c r="W51" s="205"/>
      <c r="X51" s="205"/>
      <c r="Y51" s="205"/>
      <c r="Z51" s="205"/>
      <c r="AA51" s="205"/>
      <c r="AB51" s="205"/>
      <c r="AC51" s="205"/>
      <c r="AD51" s="205"/>
      <c r="AE51" s="205"/>
      <c r="AF51" s="205"/>
      <c r="AG51" s="205"/>
      <c r="AH51" s="205"/>
      <c r="AI51" s="205"/>
      <c r="AJ51" s="205"/>
      <c r="AK51" s="205"/>
      <c r="AL51" s="205"/>
      <c r="AM51" s="205"/>
      <c r="AN51" s="205"/>
      <c r="AO51" s="205"/>
      <c r="AP51" s="205"/>
      <c r="AQ51" s="205"/>
      <c r="AR51" s="205"/>
      <c r="AS51" s="205"/>
      <c r="AT51" s="205"/>
      <c r="AU51" s="205"/>
      <c r="AV51" s="205"/>
      <c r="AW51" s="205"/>
      <c r="AX51" s="205"/>
      <c r="AY51" s="205"/>
      <c r="AZ51" s="205"/>
      <c r="BA51" s="205"/>
      <c r="BB51" s="205"/>
      <c r="BC51" s="205"/>
      <c r="BD51" s="205"/>
      <c r="BE51" s="205"/>
      <c r="BF51" s="205"/>
      <c r="BG51" s="205"/>
      <c r="BH51" s="205"/>
      <c r="BI51" s="205"/>
      <c r="BJ51" s="205"/>
      <c r="BK51" s="205"/>
      <c r="BL51" s="205"/>
      <c r="BM51" s="205"/>
      <c r="BN51" s="205"/>
      <c r="BO51" s="205"/>
      <c r="BP51" s="205"/>
      <c r="BQ51" s="205"/>
      <c r="BR51" s="205"/>
      <c r="BS51" s="205"/>
      <c r="BT51" s="205"/>
      <c r="BU51" s="205"/>
      <c r="BV51" s="205"/>
      <c r="BW51" s="205"/>
      <c r="BX51" s="205"/>
      <c r="BY51" s="205"/>
      <c r="BZ51" s="205"/>
      <c r="CA51" s="205"/>
    </row>
    <row r="52" spans="5:79">
      <c r="E52" s="204"/>
      <c r="G52" s="205"/>
      <c r="H52" s="205"/>
      <c r="I52" s="205"/>
      <c r="J52" s="205"/>
      <c r="K52" s="205"/>
      <c r="L52" s="205"/>
      <c r="M52" s="205"/>
      <c r="N52" s="205"/>
      <c r="O52" s="205"/>
      <c r="P52" s="205"/>
      <c r="Q52" s="205"/>
      <c r="R52" s="205"/>
      <c r="S52" s="205"/>
      <c r="T52" s="205"/>
      <c r="U52" s="205"/>
      <c r="V52" s="205"/>
      <c r="W52" s="205"/>
      <c r="X52" s="205"/>
      <c r="Y52" s="205"/>
      <c r="Z52" s="205"/>
      <c r="AA52" s="205"/>
      <c r="AB52" s="205"/>
      <c r="AC52" s="205"/>
      <c r="AD52" s="205"/>
      <c r="AE52" s="205"/>
      <c r="AF52" s="205"/>
      <c r="AG52" s="205"/>
      <c r="AH52" s="205"/>
      <c r="AI52" s="205"/>
      <c r="AJ52" s="205"/>
      <c r="AK52" s="205"/>
      <c r="AL52" s="205"/>
      <c r="AM52" s="205"/>
      <c r="AN52" s="205"/>
      <c r="AO52" s="205"/>
      <c r="AP52" s="205"/>
      <c r="AQ52" s="205"/>
      <c r="AR52" s="205"/>
      <c r="AS52" s="205"/>
      <c r="AT52" s="205"/>
      <c r="AU52" s="205"/>
      <c r="AV52" s="205"/>
      <c r="AW52" s="205"/>
      <c r="AX52" s="205"/>
      <c r="AY52" s="205"/>
      <c r="AZ52" s="205"/>
      <c r="BA52" s="205"/>
      <c r="BB52" s="205"/>
      <c r="BC52" s="205"/>
      <c r="BD52" s="205"/>
      <c r="BE52" s="205"/>
      <c r="BF52" s="205"/>
      <c r="BG52" s="205"/>
      <c r="BH52" s="205"/>
      <c r="BI52" s="205"/>
      <c r="BJ52" s="205"/>
      <c r="BK52" s="205"/>
      <c r="BL52" s="205"/>
      <c r="BM52" s="205"/>
      <c r="BN52" s="205"/>
      <c r="BO52" s="205"/>
      <c r="BP52" s="205"/>
      <c r="BQ52" s="205"/>
      <c r="BR52" s="205"/>
      <c r="BS52" s="205"/>
      <c r="BT52" s="205"/>
      <c r="BU52" s="205"/>
      <c r="BV52" s="205"/>
      <c r="BW52" s="205"/>
      <c r="BX52" s="205"/>
      <c r="BY52" s="205"/>
      <c r="BZ52" s="205"/>
      <c r="CA52" s="205"/>
    </row>
    <row r="53" spans="5:79">
      <c r="E53" s="204"/>
      <c r="G53" s="205"/>
      <c r="H53" s="205"/>
      <c r="I53" s="205"/>
      <c r="J53" s="205"/>
      <c r="K53" s="205"/>
      <c r="L53" s="205"/>
      <c r="M53" s="205"/>
      <c r="N53" s="205"/>
      <c r="O53" s="205"/>
      <c r="P53" s="205"/>
      <c r="Q53" s="205"/>
      <c r="R53" s="205"/>
      <c r="S53" s="205"/>
      <c r="T53" s="205"/>
      <c r="U53" s="205"/>
      <c r="V53" s="205"/>
      <c r="W53" s="205"/>
      <c r="X53" s="205"/>
      <c r="Y53" s="205"/>
      <c r="Z53" s="205"/>
      <c r="AA53" s="205"/>
      <c r="AB53" s="205"/>
      <c r="AC53" s="205"/>
      <c r="AD53" s="205"/>
      <c r="AE53" s="205"/>
      <c r="AF53" s="205"/>
      <c r="AG53" s="205"/>
      <c r="AH53" s="205"/>
      <c r="AI53" s="205"/>
      <c r="AJ53" s="205"/>
      <c r="AK53" s="205"/>
      <c r="AL53" s="205"/>
      <c r="AM53" s="205"/>
      <c r="AN53" s="205"/>
      <c r="AO53" s="205"/>
      <c r="AP53" s="205"/>
      <c r="AQ53" s="205"/>
      <c r="AR53" s="205"/>
      <c r="AS53" s="205"/>
      <c r="AT53" s="205"/>
      <c r="AU53" s="205"/>
      <c r="AV53" s="205"/>
      <c r="AW53" s="205"/>
      <c r="AX53" s="205"/>
      <c r="AY53" s="205"/>
      <c r="AZ53" s="205"/>
      <c r="BA53" s="205"/>
      <c r="BB53" s="205"/>
      <c r="BC53" s="205"/>
      <c r="BD53" s="205"/>
      <c r="BE53" s="205"/>
      <c r="BF53" s="205"/>
      <c r="BG53" s="205"/>
      <c r="BH53" s="205"/>
      <c r="BI53" s="205"/>
      <c r="BJ53" s="205"/>
      <c r="BK53" s="205"/>
      <c r="BL53" s="205"/>
      <c r="BM53" s="205"/>
      <c r="BN53" s="205"/>
      <c r="BO53" s="205"/>
      <c r="BP53" s="205"/>
      <c r="BQ53" s="205"/>
      <c r="BR53" s="205"/>
      <c r="BS53" s="205"/>
      <c r="BT53" s="205"/>
      <c r="BU53" s="205"/>
      <c r="BV53" s="205"/>
      <c r="BW53" s="205"/>
      <c r="BX53" s="205"/>
      <c r="BY53" s="205"/>
      <c r="BZ53" s="205"/>
      <c r="CA53" s="205"/>
    </row>
    <row r="54" spans="5:79">
      <c r="E54" s="204"/>
      <c r="G54" s="205"/>
      <c r="H54" s="205"/>
      <c r="I54" s="205"/>
      <c r="J54" s="205"/>
      <c r="K54" s="205"/>
      <c r="L54" s="205"/>
      <c r="M54" s="205"/>
      <c r="N54" s="205"/>
      <c r="O54" s="205"/>
      <c r="P54" s="205"/>
      <c r="Q54" s="205"/>
      <c r="R54" s="205"/>
      <c r="S54" s="205"/>
      <c r="T54" s="205"/>
      <c r="U54" s="205"/>
      <c r="V54" s="205"/>
      <c r="W54" s="205"/>
      <c r="X54" s="205"/>
      <c r="Y54" s="205"/>
      <c r="Z54" s="205"/>
      <c r="AA54" s="205"/>
      <c r="AB54" s="205"/>
      <c r="AC54" s="205"/>
      <c r="AD54" s="205"/>
      <c r="AE54" s="205"/>
      <c r="AF54" s="205"/>
      <c r="AG54" s="205"/>
      <c r="AH54" s="205"/>
      <c r="AI54" s="205"/>
      <c r="AJ54" s="205"/>
      <c r="AK54" s="205"/>
      <c r="AL54" s="205"/>
      <c r="AM54" s="205"/>
      <c r="AN54" s="205"/>
      <c r="AO54" s="205"/>
      <c r="AP54" s="205"/>
      <c r="AQ54" s="205"/>
      <c r="AR54" s="205"/>
      <c r="AS54" s="205"/>
      <c r="AT54" s="205"/>
      <c r="AU54" s="205"/>
      <c r="AV54" s="205"/>
      <c r="AW54" s="205"/>
      <c r="AX54" s="205"/>
      <c r="AY54" s="205"/>
      <c r="AZ54" s="205"/>
      <c r="BA54" s="205"/>
      <c r="BB54" s="205"/>
      <c r="BC54" s="205"/>
      <c r="BD54" s="205"/>
      <c r="BE54" s="205"/>
      <c r="BF54" s="205"/>
      <c r="BG54" s="205"/>
      <c r="BH54" s="205"/>
      <c r="BI54" s="205"/>
      <c r="BJ54" s="205"/>
      <c r="BK54" s="205"/>
      <c r="BL54" s="205"/>
      <c r="BM54" s="205"/>
      <c r="BN54" s="205"/>
      <c r="BO54" s="205"/>
      <c r="BP54" s="205"/>
      <c r="BQ54" s="205"/>
      <c r="BR54" s="205"/>
      <c r="BS54" s="205"/>
      <c r="BT54" s="205"/>
      <c r="BU54" s="205"/>
      <c r="BV54" s="205"/>
      <c r="BW54" s="205"/>
      <c r="BX54" s="205"/>
      <c r="BY54" s="205"/>
      <c r="BZ54" s="205"/>
      <c r="CA54" s="205"/>
    </row>
    <row r="55" spans="5:79">
      <c r="E55" s="204"/>
      <c r="G55" s="205"/>
      <c r="H55" s="205"/>
      <c r="I55" s="205"/>
      <c r="J55" s="205"/>
      <c r="K55" s="205"/>
      <c r="L55" s="205"/>
      <c r="M55" s="205"/>
      <c r="N55" s="205"/>
      <c r="O55" s="205"/>
      <c r="P55" s="205"/>
      <c r="Q55" s="205"/>
      <c r="R55" s="205"/>
      <c r="S55" s="205"/>
      <c r="T55" s="205"/>
      <c r="U55" s="205"/>
      <c r="V55" s="205"/>
      <c r="W55" s="205"/>
      <c r="X55" s="205"/>
      <c r="Y55" s="205"/>
      <c r="Z55" s="205"/>
      <c r="AA55" s="205"/>
      <c r="AB55" s="205"/>
      <c r="AC55" s="205"/>
      <c r="AD55" s="205"/>
      <c r="AE55" s="205"/>
      <c r="AF55" s="205"/>
      <c r="AG55" s="205"/>
      <c r="AH55" s="205"/>
      <c r="AI55" s="205"/>
      <c r="AJ55" s="205"/>
      <c r="AK55" s="205"/>
      <c r="AL55" s="205"/>
      <c r="AM55" s="205"/>
      <c r="AN55" s="205"/>
      <c r="AO55" s="205"/>
      <c r="AP55" s="205"/>
      <c r="AQ55" s="205"/>
      <c r="AR55" s="205"/>
      <c r="AS55" s="205"/>
      <c r="AT55" s="205"/>
      <c r="AU55" s="205"/>
      <c r="AV55" s="205"/>
      <c r="AW55" s="205"/>
      <c r="AX55" s="205"/>
      <c r="AY55" s="205"/>
      <c r="AZ55" s="205"/>
      <c r="BA55" s="205"/>
      <c r="BB55" s="205"/>
      <c r="BC55" s="205"/>
      <c r="BD55" s="205"/>
      <c r="BE55" s="205"/>
      <c r="BF55" s="205"/>
      <c r="BG55" s="205"/>
      <c r="BH55" s="205"/>
      <c r="BI55" s="205"/>
      <c r="BJ55" s="205"/>
      <c r="BK55" s="205"/>
      <c r="BL55" s="205"/>
      <c r="BM55" s="205"/>
      <c r="BN55" s="205"/>
      <c r="BO55" s="205"/>
      <c r="BP55" s="205"/>
      <c r="BQ55" s="205"/>
      <c r="BR55" s="205"/>
      <c r="BS55" s="205"/>
      <c r="BT55" s="205"/>
      <c r="BU55" s="205"/>
      <c r="BV55" s="205"/>
      <c r="BW55" s="205"/>
      <c r="BX55" s="205"/>
      <c r="BY55" s="205"/>
      <c r="BZ55" s="205"/>
      <c r="CA55" s="205"/>
    </row>
    <row r="56" spans="5:79">
      <c r="E56" s="204"/>
      <c r="G56" s="205"/>
      <c r="H56" s="205"/>
      <c r="I56" s="205"/>
      <c r="J56" s="205"/>
      <c r="K56" s="205"/>
      <c r="L56" s="205"/>
      <c r="M56" s="205"/>
      <c r="N56" s="205"/>
      <c r="O56" s="205"/>
      <c r="P56" s="205"/>
      <c r="Q56" s="205"/>
      <c r="R56" s="205"/>
      <c r="S56" s="205"/>
      <c r="T56" s="205"/>
      <c r="U56" s="205"/>
      <c r="V56" s="205"/>
      <c r="W56" s="205"/>
      <c r="X56" s="205"/>
      <c r="Y56" s="205"/>
      <c r="Z56" s="205"/>
      <c r="AA56" s="205"/>
      <c r="AB56" s="205"/>
      <c r="AC56" s="205"/>
      <c r="AD56" s="205"/>
      <c r="AE56" s="205"/>
      <c r="AF56" s="205"/>
      <c r="AG56" s="205"/>
      <c r="AH56" s="205"/>
      <c r="AI56" s="205"/>
      <c r="AJ56" s="205"/>
      <c r="AK56" s="205"/>
      <c r="AL56" s="205"/>
      <c r="AM56" s="205"/>
      <c r="AN56" s="205"/>
      <c r="AO56" s="205"/>
      <c r="AP56" s="205"/>
      <c r="AQ56" s="205"/>
      <c r="AR56" s="205"/>
      <c r="AS56" s="205"/>
      <c r="AT56" s="205"/>
      <c r="AU56" s="205"/>
      <c r="AV56" s="205"/>
      <c r="AW56" s="205"/>
      <c r="AX56" s="205"/>
      <c r="AY56" s="205"/>
      <c r="AZ56" s="205"/>
      <c r="BA56" s="205"/>
      <c r="BB56" s="205"/>
      <c r="BC56" s="205"/>
      <c r="BD56" s="205"/>
      <c r="BE56" s="205"/>
      <c r="BF56" s="205"/>
      <c r="BG56" s="205"/>
      <c r="BH56" s="205"/>
      <c r="BI56" s="205"/>
      <c r="BJ56" s="205"/>
      <c r="BK56" s="205"/>
      <c r="BL56" s="205"/>
      <c r="BM56" s="205"/>
      <c r="BN56" s="205"/>
      <c r="BO56" s="205"/>
      <c r="BP56" s="205"/>
      <c r="BQ56" s="205"/>
      <c r="BR56" s="205"/>
      <c r="BS56" s="205"/>
      <c r="BT56" s="205"/>
      <c r="BU56" s="205"/>
      <c r="BV56" s="205"/>
      <c r="BW56" s="205"/>
      <c r="BX56" s="205"/>
      <c r="BY56" s="205"/>
      <c r="BZ56" s="205"/>
      <c r="CA56" s="205"/>
    </row>
    <row r="57" spans="5:79">
      <c r="E57" s="204"/>
      <c r="G57" s="205"/>
      <c r="H57" s="205"/>
      <c r="I57" s="205"/>
      <c r="J57" s="205"/>
      <c r="K57" s="205"/>
      <c r="L57" s="205"/>
      <c r="M57" s="205"/>
      <c r="N57" s="205"/>
      <c r="O57" s="205"/>
      <c r="P57" s="205"/>
      <c r="Q57" s="205"/>
      <c r="R57" s="205"/>
      <c r="S57" s="205"/>
      <c r="T57" s="205"/>
      <c r="U57" s="205"/>
      <c r="V57" s="205"/>
      <c r="W57" s="205"/>
      <c r="X57" s="205"/>
      <c r="Y57" s="205"/>
      <c r="Z57" s="205"/>
      <c r="AA57" s="205"/>
      <c r="AB57" s="205"/>
      <c r="AC57" s="205"/>
      <c r="AD57" s="205"/>
      <c r="AE57" s="205"/>
      <c r="AF57" s="205"/>
      <c r="AG57" s="205"/>
      <c r="AH57" s="205"/>
      <c r="AI57" s="205"/>
      <c r="AJ57" s="205"/>
      <c r="AK57" s="205"/>
      <c r="AL57" s="205"/>
      <c r="AM57" s="205"/>
      <c r="AN57" s="205"/>
      <c r="AO57" s="205"/>
      <c r="AP57" s="205"/>
      <c r="AQ57" s="205"/>
      <c r="AR57" s="205"/>
      <c r="AS57" s="205"/>
      <c r="AT57" s="205"/>
      <c r="AU57" s="205"/>
      <c r="AV57" s="205"/>
      <c r="AW57" s="205"/>
      <c r="AX57" s="205"/>
      <c r="AY57" s="205"/>
      <c r="AZ57" s="205"/>
      <c r="BA57" s="205"/>
      <c r="BB57" s="205"/>
      <c r="BC57" s="205"/>
      <c r="BD57" s="205"/>
      <c r="BE57" s="205"/>
      <c r="BF57" s="205"/>
      <c r="BG57" s="205"/>
      <c r="BH57" s="205"/>
      <c r="BI57" s="205"/>
      <c r="BJ57" s="205"/>
      <c r="BK57" s="205"/>
      <c r="BL57" s="205"/>
      <c r="BM57" s="205"/>
      <c r="BN57" s="205"/>
      <c r="BO57" s="205"/>
      <c r="BP57" s="205"/>
      <c r="BQ57" s="205"/>
      <c r="BR57" s="205"/>
      <c r="BS57" s="205"/>
      <c r="BT57" s="205"/>
      <c r="BU57" s="205"/>
      <c r="BV57" s="205"/>
      <c r="BW57" s="205"/>
      <c r="BX57" s="205"/>
      <c r="BY57" s="205"/>
      <c r="BZ57" s="205"/>
      <c r="CA57" s="205"/>
    </row>
    <row r="58" spans="5:79">
      <c r="E58" s="204"/>
      <c r="G58" s="205"/>
      <c r="H58" s="205"/>
      <c r="I58" s="205"/>
      <c r="J58" s="205"/>
      <c r="K58" s="205"/>
      <c r="L58" s="205"/>
      <c r="M58" s="205"/>
      <c r="N58" s="205"/>
      <c r="O58" s="205"/>
      <c r="P58" s="205"/>
      <c r="Q58" s="205"/>
      <c r="R58" s="205"/>
      <c r="S58" s="205"/>
      <c r="T58" s="205"/>
      <c r="U58" s="205"/>
      <c r="V58" s="205"/>
      <c r="W58" s="205"/>
      <c r="X58" s="205"/>
      <c r="Y58" s="205"/>
      <c r="Z58" s="205"/>
      <c r="AA58" s="205"/>
      <c r="AB58" s="205"/>
      <c r="AC58" s="205"/>
      <c r="AD58" s="205"/>
      <c r="AE58" s="205"/>
      <c r="AF58" s="205"/>
      <c r="AG58" s="205"/>
      <c r="AH58" s="205"/>
      <c r="AI58" s="205"/>
      <c r="AJ58" s="205"/>
      <c r="AK58" s="205"/>
      <c r="AL58" s="205"/>
      <c r="AM58" s="205"/>
      <c r="AN58" s="205"/>
      <c r="AO58" s="205"/>
      <c r="AP58" s="205"/>
      <c r="AQ58" s="205"/>
      <c r="AR58" s="205"/>
      <c r="AS58" s="205"/>
      <c r="AT58" s="205"/>
      <c r="AU58" s="205"/>
      <c r="AV58" s="205"/>
      <c r="AW58" s="205"/>
      <c r="AX58" s="205"/>
      <c r="AY58" s="205"/>
      <c r="AZ58" s="205"/>
      <c r="BA58" s="205"/>
      <c r="BB58" s="205"/>
      <c r="BC58" s="205"/>
      <c r="BD58" s="205"/>
      <c r="BE58" s="205"/>
      <c r="BF58" s="205"/>
      <c r="BG58" s="205"/>
      <c r="BH58" s="205"/>
      <c r="BI58" s="205"/>
      <c r="BJ58" s="205"/>
      <c r="BK58" s="205"/>
      <c r="BL58" s="205"/>
      <c r="BM58" s="205"/>
      <c r="BN58" s="205"/>
      <c r="BO58" s="205"/>
      <c r="BP58" s="205"/>
      <c r="BQ58" s="205"/>
      <c r="BR58" s="205"/>
      <c r="BS58" s="205"/>
      <c r="BT58" s="205"/>
      <c r="BU58" s="205"/>
      <c r="BV58" s="205"/>
      <c r="BW58" s="205"/>
      <c r="BX58" s="205"/>
      <c r="BY58" s="205"/>
      <c r="BZ58" s="205"/>
      <c r="CA58" s="205"/>
    </row>
    <row r="59" spans="5:79">
      <c r="E59" s="204"/>
      <c r="G59" s="205"/>
      <c r="H59" s="205"/>
      <c r="I59" s="205"/>
      <c r="J59" s="205"/>
      <c r="K59" s="205"/>
      <c r="L59" s="205"/>
      <c r="M59" s="205"/>
      <c r="N59" s="205"/>
      <c r="O59" s="205"/>
      <c r="P59" s="205"/>
      <c r="Q59" s="205"/>
      <c r="R59" s="205"/>
      <c r="S59" s="205"/>
      <c r="T59" s="205"/>
      <c r="U59" s="205"/>
      <c r="V59" s="205"/>
      <c r="W59" s="205"/>
      <c r="X59" s="205"/>
      <c r="Y59" s="205"/>
      <c r="Z59" s="205"/>
      <c r="AA59" s="205"/>
      <c r="AB59" s="205"/>
      <c r="AC59" s="205"/>
      <c r="AD59" s="205"/>
      <c r="AE59" s="205"/>
      <c r="AF59" s="205"/>
      <c r="AG59" s="205"/>
      <c r="AH59" s="205"/>
      <c r="AI59" s="205"/>
      <c r="AJ59" s="205"/>
      <c r="AK59" s="205"/>
      <c r="AL59" s="205"/>
      <c r="AM59" s="205"/>
      <c r="AN59" s="205"/>
      <c r="AO59" s="205"/>
      <c r="AP59" s="205"/>
      <c r="AQ59" s="205"/>
      <c r="AR59" s="205"/>
      <c r="AS59" s="205"/>
      <c r="AT59" s="205"/>
      <c r="AU59" s="205"/>
      <c r="AV59" s="205"/>
      <c r="AW59" s="205"/>
      <c r="AX59" s="205"/>
      <c r="AY59" s="205"/>
      <c r="AZ59" s="205"/>
      <c r="BA59" s="205"/>
      <c r="BB59" s="205"/>
      <c r="BC59" s="205"/>
      <c r="BD59" s="205"/>
      <c r="BE59" s="205"/>
      <c r="BF59" s="205"/>
      <c r="BG59" s="205"/>
      <c r="BH59" s="205"/>
      <c r="BI59" s="205"/>
      <c r="BJ59" s="205"/>
      <c r="BK59" s="205"/>
      <c r="BL59" s="205"/>
      <c r="BM59" s="205"/>
      <c r="BN59" s="205"/>
      <c r="BO59" s="205"/>
      <c r="BP59" s="205"/>
      <c r="BQ59" s="205"/>
      <c r="BR59" s="205"/>
      <c r="BS59" s="205"/>
      <c r="BT59" s="205"/>
      <c r="BU59" s="205"/>
      <c r="BV59" s="205"/>
      <c r="BW59" s="205"/>
      <c r="BX59" s="205"/>
      <c r="BY59" s="205"/>
      <c r="BZ59" s="205"/>
      <c r="CA59" s="205"/>
    </row>
    <row r="60" spans="5:79">
      <c r="E60" s="204"/>
      <c r="G60" s="205"/>
      <c r="H60" s="205"/>
      <c r="I60" s="205"/>
      <c r="J60" s="205"/>
      <c r="K60" s="205"/>
      <c r="L60" s="205"/>
      <c r="M60" s="205"/>
      <c r="N60" s="205"/>
      <c r="O60" s="205"/>
      <c r="P60" s="205"/>
      <c r="Q60" s="205"/>
      <c r="R60" s="205"/>
      <c r="S60" s="205"/>
      <c r="T60" s="205"/>
      <c r="U60" s="205"/>
      <c r="V60" s="205"/>
      <c r="W60" s="205"/>
      <c r="X60" s="205"/>
      <c r="Y60" s="205"/>
      <c r="Z60" s="205"/>
      <c r="AA60" s="205"/>
      <c r="AB60" s="205"/>
      <c r="AC60" s="205"/>
      <c r="AD60" s="205"/>
      <c r="AE60" s="205"/>
      <c r="AF60" s="205"/>
      <c r="AG60" s="205"/>
      <c r="AH60" s="205"/>
      <c r="AI60" s="205"/>
      <c r="AJ60" s="205"/>
      <c r="AK60" s="205"/>
      <c r="AL60" s="205"/>
      <c r="AM60" s="205"/>
      <c r="AN60" s="205"/>
      <c r="AO60" s="205"/>
      <c r="AP60" s="205"/>
      <c r="AQ60" s="205"/>
      <c r="AR60" s="205"/>
      <c r="AS60" s="205"/>
      <c r="AT60" s="205"/>
      <c r="AU60" s="205"/>
      <c r="AV60" s="205"/>
      <c r="AW60" s="205"/>
      <c r="AX60" s="205"/>
      <c r="AY60" s="205"/>
      <c r="AZ60" s="205"/>
      <c r="BA60" s="205"/>
      <c r="BB60" s="205"/>
      <c r="BC60" s="205"/>
      <c r="BD60" s="205"/>
      <c r="BE60" s="205"/>
      <c r="BF60" s="205"/>
      <c r="BG60" s="205"/>
      <c r="BH60" s="205"/>
      <c r="BI60" s="205"/>
      <c r="BJ60" s="205"/>
      <c r="BK60" s="205"/>
      <c r="BL60" s="205"/>
      <c r="BM60" s="205"/>
      <c r="BN60" s="205"/>
      <c r="BO60" s="205"/>
      <c r="BP60" s="205"/>
      <c r="BQ60" s="205"/>
      <c r="BR60" s="205"/>
      <c r="BS60" s="205"/>
      <c r="BT60" s="205"/>
      <c r="BU60" s="205"/>
      <c r="BV60" s="205"/>
      <c r="BW60" s="205"/>
      <c r="BX60" s="205"/>
      <c r="BY60" s="205"/>
      <c r="BZ60" s="205"/>
      <c r="CA60" s="205"/>
    </row>
    <row r="61" spans="5:79">
      <c r="E61" s="204"/>
      <c r="G61" s="205"/>
      <c r="H61" s="205"/>
      <c r="I61" s="205"/>
      <c r="J61" s="205"/>
      <c r="K61" s="205"/>
      <c r="L61" s="205"/>
      <c r="M61" s="205"/>
      <c r="N61" s="205"/>
      <c r="O61" s="205"/>
      <c r="P61" s="205"/>
      <c r="Q61" s="205"/>
      <c r="R61" s="205"/>
      <c r="S61" s="205"/>
      <c r="T61" s="205"/>
      <c r="U61" s="205"/>
      <c r="V61" s="205"/>
      <c r="W61" s="205"/>
      <c r="X61" s="205"/>
      <c r="Y61" s="205"/>
      <c r="Z61" s="205"/>
      <c r="AA61" s="205"/>
      <c r="AB61" s="205"/>
      <c r="AC61" s="205"/>
      <c r="AD61" s="205"/>
      <c r="AE61" s="205"/>
      <c r="AF61" s="205"/>
      <c r="AG61" s="205"/>
      <c r="AH61" s="205"/>
      <c r="AI61" s="205"/>
      <c r="AJ61" s="205"/>
      <c r="AK61" s="205"/>
      <c r="AL61" s="205"/>
      <c r="AM61" s="205"/>
      <c r="AN61" s="205"/>
      <c r="AO61" s="205"/>
      <c r="AP61" s="205"/>
      <c r="AQ61" s="205"/>
      <c r="AR61" s="205"/>
      <c r="AS61" s="205"/>
      <c r="AT61" s="205"/>
      <c r="AU61" s="205"/>
      <c r="AV61" s="205"/>
      <c r="AW61" s="205"/>
      <c r="AX61" s="205"/>
      <c r="AY61" s="205"/>
      <c r="AZ61" s="205"/>
      <c r="BA61" s="205"/>
      <c r="BB61" s="205"/>
      <c r="BC61" s="205"/>
      <c r="BD61" s="205"/>
      <c r="BE61" s="205"/>
      <c r="BF61" s="205"/>
      <c r="BG61" s="205"/>
      <c r="BH61" s="205"/>
      <c r="BI61" s="205"/>
      <c r="BJ61" s="205"/>
      <c r="BK61" s="205"/>
      <c r="BL61" s="205"/>
      <c r="BM61" s="205"/>
      <c r="BN61" s="205"/>
      <c r="BO61" s="205"/>
      <c r="BP61" s="205"/>
      <c r="BQ61" s="205"/>
      <c r="BR61" s="205"/>
      <c r="BS61" s="205"/>
      <c r="BT61" s="205"/>
      <c r="BU61" s="205"/>
      <c r="BV61" s="205"/>
      <c r="BW61" s="205"/>
      <c r="BX61" s="205"/>
      <c r="BY61" s="205"/>
      <c r="BZ61" s="205"/>
      <c r="CA61" s="205"/>
    </row>
    <row r="62" spans="5:79">
      <c r="E62" s="204"/>
      <c r="G62" s="205"/>
      <c r="H62" s="205"/>
      <c r="I62" s="205"/>
      <c r="J62" s="205"/>
      <c r="K62" s="205"/>
      <c r="L62" s="205"/>
      <c r="M62" s="205"/>
      <c r="N62" s="205"/>
      <c r="O62" s="205"/>
      <c r="P62" s="205"/>
      <c r="Q62" s="205"/>
      <c r="R62" s="205"/>
      <c r="S62" s="205"/>
      <c r="T62" s="205"/>
      <c r="U62" s="205"/>
      <c r="V62" s="205"/>
      <c r="W62" s="205"/>
      <c r="X62" s="205"/>
      <c r="Y62" s="205"/>
      <c r="Z62" s="205"/>
      <c r="AA62" s="205"/>
      <c r="AB62" s="205"/>
      <c r="AC62" s="205"/>
      <c r="AD62" s="205"/>
      <c r="AE62" s="205"/>
      <c r="AF62" s="205"/>
      <c r="AG62" s="205"/>
      <c r="AH62" s="205"/>
      <c r="AI62" s="205"/>
      <c r="AJ62" s="205"/>
      <c r="AK62" s="205"/>
      <c r="AL62" s="205"/>
      <c r="AM62" s="205"/>
      <c r="AN62" s="205"/>
      <c r="AO62" s="205"/>
      <c r="AP62" s="205"/>
      <c r="AQ62" s="205"/>
      <c r="AR62" s="205"/>
      <c r="AS62" s="205"/>
      <c r="AT62" s="205"/>
      <c r="AU62" s="205"/>
      <c r="AV62" s="205"/>
      <c r="AW62" s="205"/>
      <c r="AX62" s="205"/>
      <c r="AY62" s="205"/>
      <c r="AZ62" s="205"/>
      <c r="BA62" s="205"/>
      <c r="BB62" s="205"/>
      <c r="BC62" s="205"/>
      <c r="BD62" s="205"/>
      <c r="BE62" s="205"/>
      <c r="BF62" s="205"/>
      <c r="BG62" s="205"/>
      <c r="BH62" s="205"/>
      <c r="BI62" s="205"/>
      <c r="BJ62" s="205"/>
      <c r="BK62" s="205"/>
      <c r="BL62" s="205"/>
      <c r="BM62" s="205"/>
      <c r="BN62" s="205"/>
      <c r="BO62" s="205"/>
      <c r="BP62" s="205"/>
      <c r="BQ62" s="205"/>
      <c r="BR62" s="205"/>
      <c r="BS62" s="205"/>
      <c r="BT62" s="205"/>
      <c r="BU62" s="205"/>
      <c r="BV62" s="205"/>
      <c r="BW62" s="205"/>
      <c r="BX62" s="205"/>
      <c r="BY62" s="205"/>
      <c r="BZ62" s="205"/>
      <c r="CA62" s="205"/>
    </row>
    <row r="63" spans="5:79">
      <c r="E63" s="204"/>
      <c r="G63" s="205"/>
      <c r="H63" s="205"/>
      <c r="I63" s="205"/>
      <c r="J63" s="205"/>
      <c r="K63" s="205"/>
      <c r="L63" s="205"/>
      <c r="M63" s="205"/>
      <c r="N63" s="205"/>
      <c r="O63" s="205"/>
      <c r="P63" s="205"/>
      <c r="Q63" s="205"/>
      <c r="R63" s="205"/>
      <c r="S63" s="205"/>
      <c r="T63" s="205"/>
      <c r="U63" s="205"/>
      <c r="V63" s="205"/>
      <c r="W63" s="205"/>
      <c r="X63" s="205"/>
      <c r="Y63" s="205"/>
      <c r="Z63" s="205"/>
      <c r="AA63" s="205"/>
      <c r="AB63" s="205"/>
      <c r="AC63" s="205"/>
      <c r="AD63" s="205"/>
      <c r="AE63" s="205"/>
      <c r="AF63" s="205"/>
      <c r="AG63" s="205"/>
      <c r="AH63" s="205"/>
      <c r="AI63" s="205"/>
      <c r="AJ63" s="205"/>
      <c r="AK63" s="205"/>
      <c r="AL63" s="205"/>
      <c r="AM63" s="205"/>
      <c r="AN63" s="205"/>
      <c r="AO63" s="205"/>
      <c r="AP63" s="205"/>
      <c r="AQ63" s="205"/>
      <c r="AR63" s="205"/>
      <c r="AS63" s="205"/>
      <c r="AT63" s="205"/>
      <c r="AU63" s="205"/>
      <c r="AV63" s="205"/>
      <c r="AW63" s="205"/>
      <c r="AX63" s="205"/>
      <c r="AY63" s="205"/>
      <c r="AZ63" s="205"/>
      <c r="BA63" s="205"/>
      <c r="BB63" s="205"/>
      <c r="BC63" s="205"/>
      <c r="BD63" s="205"/>
      <c r="BE63" s="205"/>
      <c r="BF63" s="205"/>
      <c r="BG63" s="205"/>
      <c r="BH63" s="205"/>
      <c r="BI63" s="205"/>
      <c r="BJ63" s="205"/>
      <c r="BK63" s="205"/>
      <c r="BL63" s="205"/>
      <c r="BM63" s="205"/>
      <c r="BN63" s="205"/>
      <c r="BO63" s="205"/>
      <c r="BP63" s="205"/>
      <c r="BQ63" s="205"/>
      <c r="BR63" s="205"/>
      <c r="BS63" s="205"/>
      <c r="BT63" s="205"/>
      <c r="BU63" s="205"/>
      <c r="BV63" s="205"/>
      <c r="BW63" s="205"/>
      <c r="BX63" s="205"/>
      <c r="BY63" s="205"/>
      <c r="BZ63" s="205"/>
      <c r="CA63" s="205"/>
    </row>
    <row r="64" spans="5:79">
      <c r="E64" s="204"/>
      <c r="G64" s="205"/>
      <c r="H64" s="205"/>
      <c r="I64" s="205"/>
      <c r="J64" s="205"/>
      <c r="K64" s="205"/>
      <c r="L64" s="205"/>
      <c r="M64" s="205"/>
      <c r="N64" s="205"/>
      <c r="O64" s="205"/>
      <c r="P64" s="205"/>
      <c r="Q64" s="205"/>
      <c r="R64" s="205"/>
      <c r="S64" s="205"/>
      <c r="T64" s="205"/>
      <c r="U64" s="205"/>
      <c r="V64" s="205"/>
      <c r="W64" s="205"/>
      <c r="X64" s="205"/>
      <c r="Y64" s="205"/>
      <c r="Z64" s="205"/>
      <c r="AA64" s="205"/>
      <c r="AB64" s="205"/>
      <c r="AC64" s="205"/>
      <c r="AD64" s="205"/>
      <c r="AE64" s="205"/>
      <c r="AF64" s="205"/>
      <c r="AG64" s="205"/>
      <c r="AH64" s="205"/>
      <c r="AI64" s="205"/>
      <c r="AJ64" s="205"/>
      <c r="AK64" s="205"/>
      <c r="AL64" s="205"/>
      <c r="AM64" s="205"/>
      <c r="AN64" s="205"/>
      <c r="AO64" s="205"/>
      <c r="AP64" s="205"/>
      <c r="AQ64" s="205"/>
      <c r="AR64" s="205"/>
      <c r="AS64" s="205"/>
      <c r="AT64" s="205"/>
      <c r="AU64" s="205"/>
      <c r="AV64" s="205"/>
      <c r="AW64" s="205"/>
      <c r="AX64" s="205"/>
      <c r="AY64" s="205"/>
      <c r="AZ64" s="205"/>
      <c r="BA64" s="205"/>
      <c r="BB64" s="205"/>
      <c r="BC64" s="205"/>
      <c r="BD64" s="205"/>
      <c r="BE64" s="205"/>
      <c r="BF64" s="205"/>
      <c r="BG64" s="205"/>
      <c r="BH64" s="205"/>
      <c r="BI64" s="205"/>
      <c r="BJ64" s="205"/>
      <c r="BK64" s="205"/>
      <c r="BL64" s="205"/>
      <c r="BM64" s="205"/>
      <c r="BN64" s="205"/>
      <c r="BO64" s="205"/>
      <c r="BP64" s="205"/>
      <c r="BQ64" s="205"/>
      <c r="BR64" s="205"/>
      <c r="BS64" s="205"/>
      <c r="BT64" s="205"/>
      <c r="BU64" s="205"/>
      <c r="BV64" s="205"/>
      <c r="BW64" s="205"/>
      <c r="BX64" s="205"/>
      <c r="BY64" s="205"/>
      <c r="BZ64" s="205"/>
      <c r="CA64" s="205"/>
    </row>
    <row r="65" spans="5:79">
      <c r="E65" s="204"/>
      <c r="G65" s="205"/>
      <c r="H65" s="205"/>
      <c r="I65" s="205"/>
      <c r="J65" s="205"/>
      <c r="K65" s="205"/>
      <c r="L65" s="205"/>
      <c r="M65" s="205"/>
      <c r="N65" s="205"/>
      <c r="O65" s="205"/>
      <c r="P65" s="205"/>
      <c r="Q65" s="205"/>
      <c r="R65" s="205"/>
      <c r="S65" s="205"/>
      <c r="T65" s="205"/>
      <c r="U65" s="205"/>
      <c r="V65" s="205"/>
      <c r="W65" s="205"/>
      <c r="X65" s="205"/>
      <c r="Y65" s="205"/>
      <c r="Z65" s="205"/>
      <c r="AA65" s="205"/>
      <c r="AB65" s="205"/>
      <c r="AC65" s="205"/>
      <c r="AD65" s="205"/>
      <c r="AE65" s="205"/>
      <c r="AF65" s="205"/>
      <c r="AG65" s="205"/>
      <c r="AH65" s="205"/>
      <c r="AI65" s="205"/>
      <c r="AJ65" s="205"/>
      <c r="AK65" s="205"/>
      <c r="AL65" s="205"/>
      <c r="AM65" s="205"/>
      <c r="AN65" s="205"/>
      <c r="AO65" s="205"/>
      <c r="AP65" s="205"/>
      <c r="AQ65" s="205"/>
      <c r="AR65" s="205"/>
      <c r="AS65" s="205"/>
      <c r="AT65" s="205"/>
      <c r="AU65" s="205"/>
      <c r="AV65" s="205"/>
      <c r="AW65" s="205"/>
      <c r="AX65" s="205"/>
      <c r="AY65" s="205"/>
      <c r="AZ65" s="205"/>
      <c r="BA65" s="205"/>
      <c r="BB65" s="205"/>
      <c r="BC65" s="205"/>
      <c r="BD65" s="205"/>
      <c r="BE65" s="205"/>
      <c r="BF65" s="205"/>
      <c r="BG65" s="205"/>
      <c r="BH65" s="205"/>
      <c r="BI65" s="205"/>
      <c r="BJ65" s="205"/>
      <c r="BK65" s="205"/>
      <c r="BL65" s="205"/>
      <c r="BM65" s="205"/>
      <c r="BN65" s="205"/>
      <c r="BO65" s="205"/>
      <c r="BP65" s="205"/>
      <c r="BQ65" s="205"/>
      <c r="BR65" s="205"/>
      <c r="BS65" s="205"/>
      <c r="BT65" s="205"/>
      <c r="BU65" s="205"/>
      <c r="BV65" s="205"/>
      <c r="BW65" s="205"/>
      <c r="BX65" s="205"/>
      <c r="BY65" s="205"/>
      <c r="BZ65" s="205"/>
      <c r="CA65" s="205"/>
    </row>
    <row r="66" spans="5:79">
      <c r="E66" s="204"/>
      <c r="G66" s="205"/>
      <c r="H66" s="205"/>
      <c r="I66" s="205"/>
      <c r="J66" s="205"/>
      <c r="K66" s="205"/>
      <c r="L66" s="205"/>
      <c r="M66" s="205"/>
      <c r="N66" s="205"/>
      <c r="O66" s="205"/>
      <c r="P66" s="205"/>
      <c r="Q66" s="205"/>
      <c r="R66" s="205"/>
      <c r="S66" s="205"/>
      <c r="T66" s="205"/>
      <c r="U66" s="205"/>
      <c r="V66" s="205"/>
      <c r="W66" s="205"/>
      <c r="X66" s="205"/>
      <c r="Y66" s="205"/>
      <c r="Z66" s="205"/>
      <c r="AA66" s="205"/>
      <c r="AB66" s="205"/>
      <c r="AC66" s="205"/>
      <c r="AD66" s="205"/>
      <c r="AE66" s="205"/>
      <c r="AF66" s="205"/>
      <c r="AG66" s="205"/>
      <c r="AH66" s="205"/>
      <c r="AI66" s="205"/>
      <c r="AJ66" s="205"/>
      <c r="AK66" s="205"/>
      <c r="AL66" s="205"/>
      <c r="AM66" s="205"/>
      <c r="AN66" s="205"/>
      <c r="AO66" s="205"/>
      <c r="AP66" s="205"/>
      <c r="AQ66" s="205"/>
      <c r="AR66" s="205"/>
      <c r="AS66" s="205"/>
      <c r="AT66" s="205"/>
      <c r="AU66" s="205"/>
      <c r="AV66" s="205"/>
      <c r="AW66" s="205"/>
      <c r="AX66" s="205"/>
      <c r="AY66" s="205"/>
      <c r="AZ66" s="205"/>
      <c r="BA66" s="205"/>
      <c r="BB66" s="205"/>
      <c r="BC66" s="205"/>
      <c r="BD66" s="205"/>
      <c r="BE66" s="205"/>
      <c r="BF66" s="205"/>
      <c r="BG66" s="205"/>
      <c r="BH66" s="205"/>
      <c r="BI66" s="205"/>
      <c r="BJ66" s="205"/>
      <c r="BK66" s="205"/>
      <c r="BL66" s="205"/>
      <c r="BM66" s="205"/>
      <c r="BN66" s="205"/>
      <c r="BO66" s="205"/>
      <c r="BP66" s="205"/>
      <c r="BQ66" s="205"/>
      <c r="BR66" s="205"/>
      <c r="BS66" s="205"/>
      <c r="BT66" s="205"/>
      <c r="BU66" s="205"/>
      <c r="BV66" s="205"/>
      <c r="BW66" s="205"/>
      <c r="BX66" s="205"/>
      <c r="BY66" s="205"/>
      <c r="BZ66" s="205"/>
      <c r="CA66" s="205"/>
    </row>
    <row r="67" spans="5:79">
      <c r="E67" s="204"/>
      <c r="G67" s="205"/>
      <c r="H67" s="205"/>
      <c r="I67" s="205"/>
      <c r="J67" s="205"/>
      <c r="K67" s="205"/>
      <c r="L67" s="205"/>
      <c r="M67" s="205"/>
      <c r="N67" s="205"/>
      <c r="O67" s="205"/>
      <c r="P67" s="205"/>
      <c r="Q67" s="205"/>
      <c r="R67" s="205"/>
      <c r="S67" s="205"/>
      <c r="T67" s="205"/>
      <c r="U67" s="205"/>
      <c r="V67" s="205"/>
      <c r="W67" s="205"/>
      <c r="X67" s="205"/>
      <c r="Y67" s="205"/>
      <c r="Z67" s="205"/>
      <c r="AA67" s="205"/>
      <c r="AB67" s="205"/>
      <c r="AC67" s="205"/>
      <c r="AD67" s="205"/>
      <c r="AE67" s="205"/>
      <c r="AF67" s="205"/>
      <c r="AG67" s="205"/>
      <c r="AH67" s="205"/>
      <c r="AI67" s="205"/>
      <c r="AJ67" s="205"/>
      <c r="AK67" s="205"/>
      <c r="AL67" s="205"/>
      <c r="AM67" s="205"/>
      <c r="AN67" s="205"/>
      <c r="AO67" s="205"/>
      <c r="AP67" s="205"/>
      <c r="AQ67" s="205"/>
      <c r="AR67" s="205"/>
      <c r="AS67" s="205"/>
      <c r="AT67" s="205"/>
      <c r="AU67" s="205"/>
      <c r="AV67" s="205"/>
      <c r="AW67" s="205"/>
      <c r="AX67" s="205"/>
      <c r="AY67" s="205"/>
      <c r="AZ67" s="205"/>
      <c r="BA67" s="205"/>
      <c r="BB67" s="205"/>
      <c r="BC67" s="205"/>
      <c r="BD67" s="205"/>
      <c r="BE67" s="205"/>
      <c r="BF67" s="205"/>
      <c r="BG67" s="205"/>
      <c r="BH67" s="205"/>
      <c r="BI67" s="205"/>
      <c r="BJ67" s="205"/>
      <c r="BK67" s="205"/>
      <c r="BL67" s="205"/>
      <c r="BM67" s="205"/>
      <c r="BN67" s="205"/>
      <c r="BO67" s="205"/>
      <c r="BP67" s="205"/>
      <c r="BQ67" s="205"/>
      <c r="BR67" s="205"/>
      <c r="BS67" s="205"/>
      <c r="BT67" s="205"/>
      <c r="BU67" s="205"/>
      <c r="BV67" s="205"/>
      <c r="BW67" s="205"/>
      <c r="BX67" s="205"/>
      <c r="BY67" s="205"/>
      <c r="BZ67" s="205"/>
      <c r="CA67" s="205"/>
    </row>
    <row r="68" spans="5:79">
      <c r="E68" s="204"/>
      <c r="G68" s="205"/>
      <c r="H68" s="205"/>
      <c r="I68" s="205"/>
      <c r="J68" s="205"/>
      <c r="K68" s="205"/>
      <c r="L68" s="205"/>
      <c r="M68" s="205"/>
      <c r="N68" s="205"/>
      <c r="O68" s="205"/>
      <c r="P68" s="205"/>
      <c r="Q68" s="205"/>
      <c r="R68" s="205"/>
      <c r="S68" s="205"/>
      <c r="T68" s="205"/>
      <c r="U68" s="205"/>
      <c r="V68" s="205"/>
      <c r="W68" s="205"/>
      <c r="X68" s="205"/>
      <c r="Y68" s="205"/>
      <c r="Z68" s="205"/>
      <c r="AA68" s="205"/>
      <c r="AB68" s="205"/>
      <c r="AC68" s="205"/>
      <c r="AD68" s="205"/>
      <c r="AE68" s="205"/>
      <c r="AF68" s="205"/>
      <c r="AG68" s="205"/>
      <c r="AH68" s="205"/>
      <c r="AI68" s="205"/>
      <c r="AJ68" s="205"/>
      <c r="AK68" s="205"/>
      <c r="AL68" s="205"/>
      <c r="AM68" s="205"/>
      <c r="AN68" s="205"/>
      <c r="AO68" s="205"/>
      <c r="AP68" s="205"/>
      <c r="AQ68" s="205"/>
      <c r="AR68" s="205"/>
      <c r="AS68" s="205"/>
      <c r="AT68" s="205"/>
      <c r="AU68" s="205"/>
      <c r="AV68" s="205"/>
      <c r="AW68" s="205"/>
      <c r="AX68" s="205"/>
      <c r="AY68" s="205"/>
      <c r="AZ68" s="205"/>
      <c r="BA68" s="205"/>
      <c r="BB68" s="205"/>
      <c r="BC68" s="205"/>
      <c r="BD68" s="205"/>
      <c r="BE68" s="205"/>
      <c r="BF68" s="205"/>
      <c r="BG68" s="205"/>
      <c r="BH68" s="205"/>
      <c r="BI68" s="205"/>
      <c r="BJ68" s="205"/>
      <c r="BK68" s="205"/>
      <c r="BL68" s="205"/>
      <c r="BM68" s="205"/>
      <c r="BN68" s="205"/>
      <c r="BO68" s="205"/>
      <c r="BP68" s="205"/>
      <c r="BQ68" s="205"/>
      <c r="BR68" s="205"/>
      <c r="BS68" s="205"/>
      <c r="BT68" s="205"/>
      <c r="BU68" s="205"/>
      <c r="BV68" s="205"/>
      <c r="BW68" s="205"/>
      <c r="BX68" s="205"/>
      <c r="BY68" s="205"/>
      <c r="BZ68" s="205"/>
      <c r="CA68" s="205"/>
    </row>
    <row r="69" spans="5:79">
      <c r="E69" s="204"/>
      <c r="G69" s="205"/>
      <c r="H69" s="205"/>
      <c r="I69" s="205"/>
      <c r="J69" s="205"/>
      <c r="K69" s="205"/>
      <c r="L69" s="205"/>
      <c r="M69" s="205"/>
      <c r="N69" s="205"/>
      <c r="O69" s="205"/>
      <c r="P69" s="205"/>
      <c r="Q69" s="205"/>
      <c r="R69" s="205"/>
      <c r="S69" s="205"/>
      <c r="T69" s="205"/>
      <c r="U69" s="205"/>
      <c r="V69" s="205"/>
      <c r="W69" s="205"/>
      <c r="X69" s="205"/>
      <c r="Y69" s="205"/>
      <c r="Z69" s="205"/>
      <c r="AA69" s="205"/>
      <c r="AB69" s="205"/>
      <c r="AC69" s="205"/>
      <c r="AD69" s="205"/>
      <c r="AE69" s="205"/>
      <c r="AF69" s="205"/>
      <c r="AG69" s="205"/>
      <c r="AH69" s="205"/>
      <c r="AI69" s="205"/>
      <c r="AJ69" s="205"/>
      <c r="AK69" s="205"/>
      <c r="AL69" s="205"/>
      <c r="AM69" s="205"/>
      <c r="AN69" s="205"/>
      <c r="AO69" s="205"/>
      <c r="AP69" s="205"/>
      <c r="AQ69" s="205"/>
      <c r="AR69" s="205"/>
      <c r="AS69" s="205"/>
      <c r="AT69" s="205"/>
      <c r="AU69" s="205"/>
      <c r="AV69" s="205"/>
      <c r="AW69" s="205"/>
      <c r="AX69" s="205"/>
      <c r="AY69" s="205"/>
      <c r="AZ69" s="205"/>
      <c r="BA69" s="205"/>
      <c r="BB69" s="205"/>
      <c r="BC69" s="205"/>
      <c r="BD69" s="205"/>
      <c r="BE69" s="205"/>
      <c r="BF69" s="205"/>
      <c r="BG69" s="205"/>
      <c r="BH69" s="205"/>
      <c r="BI69" s="205"/>
      <c r="BJ69" s="205"/>
      <c r="BK69" s="205"/>
      <c r="BL69" s="205"/>
      <c r="BM69" s="205"/>
      <c r="BN69" s="205"/>
      <c r="BO69" s="205"/>
      <c r="BP69" s="205"/>
      <c r="BQ69" s="205"/>
      <c r="BR69" s="205"/>
      <c r="BS69" s="205"/>
      <c r="BT69" s="205"/>
      <c r="BU69" s="205"/>
      <c r="BV69" s="205"/>
      <c r="BW69" s="205"/>
      <c r="BX69" s="205"/>
      <c r="BY69" s="205"/>
      <c r="BZ69" s="205"/>
      <c r="CA69" s="205"/>
    </row>
    <row r="70" spans="5:79">
      <c r="E70" s="204"/>
      <c r="G70" s="205"/>
      <c r="H70" s="205"/>
      <c r="I70" s="205"/>
      <c r="J70" s="205"/>
      <c r="K70" s="205"/>
      <c r="L70" s="205"/>
      <c r="M70" s="205"/>
      <c r="N70" s="205"/>
      <c r="O70" s="205"/>
      <c r="P70" s="205"/>
      <c r="Q70" s="205"/>
      <c r="R70" s="205"/>
      <c r="S70" s="205"/>
      <c r="T70" s="205"/>
      <c r="U70" s="205"/>
      <c r="V70" s="205"/>
      <c r="W70" s="205"/>
      <c r="X70" s="205"/>
      <c r="Y70" s="205"/>
      <c r="Z70" s="205"/>
      <c r="AA70" s="205"/>
      <c r="AB70" s="205"/>
      <c r="AC70" s="205"/>
      <c r="AD70" s="205"/>
      <c r="AE70" s="205"/>
      <c r="AF70" s="205"/>
      <c r="AG70" s="205"/>
      <c r="AH70" s="205"/>
      <c r="AI70" s="205"/>
      <c r="AJ70" s="205"/>
      <c r="AK70" s="205"/>
      <c r="AL70" s="205"/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AY70" s="205"/>
      <c r="AZ70" s="205"/>
      <c r="BA70" s="205"/>
      <c r="BB70" s="205"/>
      <c r="BC70" s="205"/>
      <c r="BD70" s="205"/>
      <c r="BE70" s="205"/>
      <c r="BF70" s="205"/>
      <c r="BG70" s="205"/>
      <c r="BH70" s="205"/>
      <c r="BI70" s="205"/>
      <c r="BJ70" s="205"/>
      <c r="BK70" s="205"/>
      <c r="BL70" s="205"/>
      <c r="BM70" s="205"/>
      <c r="BN70" s="205"/>
      <c r="BO70" s="205"/>
      <c r="BP70" s="205"/>
      <c r="BQ70" s="205"/>
      <c r="BR70" s="205"/>
      <c r="BS70" s="205"/>
      <c r="BT70" s="205"/>
      <c r="BU70" s="205"/>
      <c r="BV70" s="205"/>
      <c r="BW70" s="205"/>
      <c r="BX70" s="205"/>
      <c r="BY70" s="205"/>
      <c r="BZ70" s="205"/>
      <c r="CA70" s="205"/>
    </row>
    <row r="71" spans="5:79">
      <c r="E71" s="204"/>
      <c r="G71" s="205"/>
      <c r="H71" s="205"/>
      <c r="I71" s="205"/>
      <c r="J71" s="205"/>
      <c r="K71" s="205"/>
      <c r="L71" s="205"/>
      <c r="M71" s="205"/>
      <c r="N71" s="205"/>
      <c r="O71" s="205"/>
      <c r="P71" s="205"/>
      <c r="Q71" s="205"/>
      <c r="R71" s="205"/>
      <c r="S71" s="205"/>
      <c r="T71" s="205"/>
      <c r="U71" s="205"/>
      <c r="V71" s="205"/>
      <c r="W71" s="205"/>
      <c r="X71" s="205"/>
      <c r="Y71" s="205"/>
      <c r="Z71" s="205"/>
      <c r="AA71" s="205"/>
      <c r="AB71" s="205"/>
      <c r="AC71" s="205"/>
      <c r="AD71" s="205"/>
      <c r="AE71" s="205"/>
      <c r="AF71" s="205"/>
      <c r="AG71" s="205"/>
      <c r="AH71" s="205"/>
      <c r="AI71" s="205"/>
      <c r="AJ71" s="205"/>
      <c r="AK71" s="205"/>
      <c r="AL71" s="205"/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AY71" s="205"/>
      <c r="AZ71" s="205"/>
      <c r="BA71" s="205"/>
      <c r="BB71" s="205"/>
      <c r="BC71" s="205"/>
      <c r="BD71" s="205"/>
      <c r="BE71" s="205"/>
      <c r="BF71" s="205"/>
      <c r="BG71" s="205"/>
      <c r="BH71" s="205"/>
      <c r="BI71" s="205"/>
      <c r="BJ71" s="205"/>
      <c r="BK71" s="205"/>
      <c r="BL71" s="205"/>
      <c r="BM71" s="205"/>
      <c r="BN71" s="205"/>
      <c r="BO71" s="205"/>
      <c r="BP71" s="205"/>
      <c r="BQ71" s="205"/>
      <c r="BR71" s="205"/>
      <c r="BS71" s="205"/>
      <c r="BT71" s="205"/>
      <c r="BU71" s="205"/>
      <c r="BV71" s="205"/>
      <c r="BW71" s="205"/>
      <c r="BX71" s="205"/>
      <c r="BY71" s="205"/>
      <c r="BZ71" s="205"/>
      <c r="CA71" s="205"/>
    </row>
    <row r="72" spans="5:79">
      <c r="E72" s="204"/>
      <c r="G72" s="205"/>
      <c r="H72" s="205"/>
      <c r="I72" s="205"/>
      <c r="J72" s="205"/>
      <c r="K72" s="205"/>
      <c r="L72" s="205"/>
      <c r="M72" s="205"/>
      <c r="N72" s="205"/>
      <c r="O72" s="205"/>
      <c r="P72" s="205"/>
      <c r="Q72" s="205"/>
      <c r="R72" s="205"/>
      <c r="S72" s="205"/>
      <c r="T72" s="205"/>
      <c r="U72" s="205"/>
      <c r="V72" s="205"/>
      <c r="W72" s="205"/>
      <c r="X72" s="205"/>
      <c r="Y72" s="205"/>
      <c r="Z72" s="205"/>
      <c r="AA72" s="205"/>
      <c r="AB72" s="205"/>
      <c r="AC72" s="205"/>
      <c r="AD72" s="205"/>
      <c r="AE72" s="205"/>
      <c r="AF72" s="205"/>
      <c r="AG72" s="205"/>
      <c r="AH72" s="205"/>
      <c r="AI72" s="205"/>
      <c r="AJ72" s="205"/>
      <c r="AK72" s="205"/>
      <c r="AL72" s="205"/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  <c r="AY72" s="205"/>
      <c r="AZ72" s="205"/>
      <c r="BA72" s="205"/>
      <c r="BB72" s="205"/>
      <c r="BC72" s="205"/>
      <c r="BD72" s="205"/>
      <c r="BE72" s="205"/>
      <c r="BF72" s="205"/>
      <c r="BG72" s="205"/>
      <c r="BH72" s="205"/>
      <c r="BI72" s="205"/>
      <c r="BJ72" s="205"/>
      <c r="BK72" s="205"/>
      <c r="BL72" s="205"/>
      <c r="BM72" s="205"/>
      <c r="BN72" s="205"/>
      <c r="BO72" s="205"/>
      <c r="BP72" s="205"/>
      <c r="BQ72" s="205"/>
      <c r="BR72" s="205"/>
      <c r="BS72" s="205"/>
      <c r="BT72" s="205"/>
      <c r="BU72" s="205"/>
      <c r="BV72" s="205"/>
      <c r="BW72" s="205"/>
      <c r="BX72" s="205"/>
      <c r="BY72" s="205"/>
      <c r="BZ72" s="205"/>
      <c r="CA72" s="205"/>
    </row>
    <row r="73" spans="5:79">
      <c r="E73" s="204"/>
      <c r="G73" s="205"/>
      <c r="H73" s="205"/>
      <c r="I73" s="205"/>
      <c r="J73" s="205"/>
      <c r="K73" s="205"/>
      <c r="L73" s="205"/>
      <c r="M73" s="205"/>
      <c r="N73" s="205"/>
      <c r="O73" s="205"/>
      <c r="P73" s="205"/>
      <c r="Q73" s="205"/>
      <c r="R73" s="205"/>
      <c r="S73" s="205"/>
      <c r="T73" s="205"/>
      <c r="U73" s="205"/>
      <c r="V73" s="205"/>
      <c r="W73" s="205"/>
      <c r="X73" s="205"/>
      <c r="Y73" s="205"/>
      <c r="Z73" s="205"/>
      <c r="AA73" s="205"/>
      <c r="AB73" s="205"/>
      <c r="AC73" s="205"/>
      <c r="AD73" s="205"/>
      <c r="AE73" s="205"/>
      <c r="AF73" s="205"/>
      <c r="AG73" s="205"/>
      <c r="AH73" s="205"/>
      <c r="AI73" s="205"/>
      <c r="AJ73" s="205"/>
      <c r="AK73" s="205"/>
      <c r="AL73" s="205"/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  <c r="AY73" s="205"/>
      <c r="AZ73" s="205"/>
      <c r="BA73" s="205"/>
      <c r="BB73" s="205"/>
      <c r="BC73" s="205"/>
      <c r="BD73" s="205"/>
      <c r="BE73" s="205"/>
      <c r="BF73" s="205"/>
      <c r="BG73" s="205"/>
      <c r="BH73" s="205"/>
      <c r="BI73" s="205"/>
      <c r="BJ73" s="205"/>
      <c r="BK73" s="205"/>
      <c r="BL73" s="205"/>
      <c r="BM73" s="205"/>
      <c r="BN73" s="205"/>
      <c r="BO73" s="205"/>
      <c r="BP73" s="205"/>
      <c r="BQ73" s="205"/>
      <c r="BR73" s="205"/>
      <c r="BS73" s="205"/>
      <c r="BT73" s="205"/>
      <c r="BU73" s="205"/>
      <c r="BV73" s="205"/>
      <c r="BW73" s="205"/>
      <c r="BX73" s="205"/>
      <c r="BY73" s="205"/>
      <c r="BZ73" s="205"/>
      <c r="CA73" s="205"/>
    </row>
    <row r="74" spans="5:79">
      <c r="E74" s="204"/>
      <c r="G74" s="205"/>
      <c r="H74" s="205"/>
      <c r="I74" s="205"/>
      <c r="J74" s="205"/>
      <c r="K74" s="205"/>
      <c r="L74" s="205"/>
      <c r="M74" s="205"/>
      <c r="N74" s="205"/>
      <c r="O74" s="205"/>
      <c r="P74" s="205"/>
      <c r="Q74" s="205"/>
      <c r="R74" s="205"/>
      <c r="S74" s="205"/>
      <c r="T74" s="205"/>
      <c r="U74" s="205"/>
      <c r="V74" s="205"/>
      <c r="W74" s="205"/>
      <c r="X74" s="205"/>
      <c r="Y74" s="205"/>
      <c r="Z74" s="205"/>
      <c r="AA74" s="205"/>
      <c r="AB74" s="205"/>
      <c r="AC74" s="205"/>
      <c r="AD74" s="205"/>
      <c r="AE74" s="205"/>
      <c r="AF74" s="205"/>
      <c r="AG74" s="205"/>
      <c r="AH74" s="205"/>
      <c r="AI74" s="205"/>
      <c r="AJ74" s="205"/>
      <c r="AK74" s="205"/>
      <c r="AL74" s="205"/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  <c r="AY74" s="205"/>
      <c r="AZ74" s="205"/>
      <c r="BA74" s="205"/>
      <c r="BB74" s="205"/>
      <c r="BC74" s="205"/>
      <c r="BD74" s="205"/>
      <c r="BE74" s="205"/>
      <c r="BF74" s="205"/>
      <c r="BG74" s="205"/>
      <c r="BH74" s="205"/>
      <c r="BI74" s="205"/>
      <c r="BJ74" s="205"/>
      <c r="BK74" s="205"/>
      <c r="BL74" s="205"/>
      <c r="BM74" s="205"/>
      <c r="BN74" s="205"/>
      <c r="BO74" s="205"/>
      <c r="BP74" s="205"/>
      <c r="BQ74" s="205"/>
      <c r="BR74" s="205"/>
      <c r="BS74" s="205"/>
      <c r="BT74" s="205"/>
      <c r="BU74" s="205"/>
      <c r="BV74" s="205"/>
      <c r="BW74" s="205"/>
      <c r="BX74" s="205"/>
      <c r="BY74" s="205"/>
      <c r="BZ74" s="205"/>
      <c r="CA74" s="205"/>
    </row>
    <row r="75" spans="5:79">
      <c r="E75" s="204"/>
      <c r="G75" s="205"/>
      <c r="H75" s="205"/>
      <c r="I75" s="205"/>
      <c r="J75" s="205"/>
      <c r="K75" s="205"/>
      <c r="L75" s="205"/>
      <c r="M75" s="205"/>
      <c r="N75" s="205"/>
      <c r="O75" s="205"/>
      <c r="P75" s="205"/>
      <c r="Q75" s="205"/>
      <c r="R75" s="205"/>
      <c r="S75" s="205"/>
      <c r="T75" s="205"/>
      <c r="U75" s="205"/>
      <c r="V75" s="205"/>
      <c r="W75" s="205"/>
      <c r="X75" s="205"/>
      <c r="Y75" s="205"/>
      <c r="Z75" s="205"/>
      <c r="AA75" s="205"/>
      <c r="AB75" s="205"/>
      <c r="AC75" s="205"/>
      <c r="AD75" s="205"/>
      <c r="AE75" s="205"/>
      <c r="AF75" s="205"/>
      <c r="AG75" s="205"/>
      <c r="AH75" s="205"/>
      <c r="AI75" s="205"/>
      <c r="AJ75" s="205"/>
      <c r="AK75" s="205"/>
      <c r="AL75" s="205"/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  <c r="AY75" s="205"/>
      <c r="AZ75" s="205"/>
      <c r="BA75" s="205"/>
      <c r="BB75" s="205"/>
      <c r="BC75" s="205"/>
      <c r="BD75" s="205"/>
      <c r="BE75" s="205"/>
      <c r="BF75" s="205"/>
      <c r="BG75" s="205"/>
      <c r="BH75" s="205"/>
      <c r="BI75" s="205"/>
      <c r="BJ75" s="205"/>
      <c r="BK75" s="205"/>
      <c r="BL75" s="205"/>
      <c r="BM75" s="205"/>
      <c r="BN75" s="205"/>
      <c r="BO75" s="205"/>
      <c r="BP75" s="205"/>
      <c r="BQ75" s="205"/>
      <c r="BR75" s="205"/>
      <c r="BS75" s="205"/>
      <c r="BT75" s="205"/>
      <c r="BU75" s="205"/>
      <c r="BV75" s="205"/>
      <c r="BW75" s="205"/>
      <c r="BX75" s="205"/>
      <c r="BY75" s="205"/>
      <c r="BZ75" s="205"/>
      <c r="CA75" s="205"/>
    </row>
    <row r="76" spans="5:79">
      <c r="E76" s="204"/>
      <c r="G76" s="205"/>
      <c r="H76" s="205"/>
      <c r="I76" s="205"/>
      <c r="J76" s="205"/>
      <c r="K76" s="205"/>
      <c r="L76" s="205"/>
      <c r="M76" s="205"/>
      <c r="N76" s="205"/>
      <c r="O76" s="205"/>
      <c r="P76" s="205"/>
      <c r="Q76" s="205"/>
      <c r="R76" s="205"/>
      <c r="S76" s="205"/>
      <c r="T76" s="205"/>
      <c r="U76" s="205"/>
      <c r="V76" s="205"/>
      <c r="W76" s="205"/>
      <c r="X76" s="205"/>
      <c r="Y76" s="205"/>
      <c r="Z76" s="205"/>
      <c r="AA76" s="205"/>
      <c r="AB76" s="205"/>
      <c r="AC76" s="205"/>
      <c r="AD76" s="205"/>
      <c r="AE76" s="205"/>
      <c r="AF76" s="205"/>
      <c r="AG76" s="205"/>
      <c r="AH76" s="205"/>
      <c r="AI76" s="205"/>
      <c r="AJ76" s="205"/>
      <c r="AK76" s="205"/>
      <c r="AL76" s="205"/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  <c r="AY76" s="205"/>
      <c r="AZ76" s="205"/>
      <c r="BA76" s="205"/>
      <c r="BB76" s="205"/>
      <c r="BC76" s="205"/>
      <c r="BD76" s="205"/>
      <c r="BE76" s="205"/>
      <c r="BF76" s="205"/>
      <c r="BG76" s="205"/>
      <c r="BH76" s="205"/>
      <c r="BI76" s="205"/>
      <c r="BJ76" s="205"/>
      <c r="BK76" s="205"/>
      <c r="BL76" s="205"/>
      <c r="BM76" s="205"/>
      <c r="BN76" s="205"/>
      <c r="BO76" s="205"/>
      <c r="BP76" s="205"/>
      <c r="BQ76" s="205"/>
      <c r="BR76" s="205"/>
      <c r="BS76" s="205"/>
      <c r="BT76" s="205"/>
      <c r="BU76" s="205"/>
      <c r="BV76" s="205"/>
      <c r="BW76" s="205"/>
      <c r="BX76" s="205"/>
      <c r="BY76" s="205"/>
      <c r="BZ76" s="205"/>
      <c r="CA76" s="205"/>
    </row>
    <row r="77" spans="5:79">
      <c r="E77" s="204"/>
      <c r="G77" s="205"/>
      <c r="H77" s="205"/>
      <c r="I77" s="205"/>
      <c r="J77" s="205"/>
      <c r="K77" s="205"/>
      <c r="L77" s="205"/>
      <c r="M77" s="205"/>
      <c r="N77" s="205"/>
      <c r="O77" s="205"/>
      <c r="P77" s="205"/>
      <c r="Q77" s="205"/>
      <c r="R77" s="205"/>
      <c r="S77" s="205"/>
      <c r="T77" s="205"/>
      <c r="U77" s="205"/>
      <c r="V77" s="205"/>
      <c r="W77" s="205"/>
      <c r="X77" s="205"/>
      <c r="Y77" s="205"/>
      <c r="Z77" s="205"/>
      <c r="AA77" s="205"/>
      <c r="AB77" s="205"/>
      <c r="AC77" s="205"/>
      <c r="AD77" s="205"/>
      <c r="AE77" s="205"/>
      <c r="AF77" s="205"/>
      <c r="AG77" s="205"/>
      <c r="AH77" s="205"/>
      <c r="AI77" s="205"/>
      <c r="AJ77" s="205"/>
      <c r="AK77" s="205"/>
      <c r="AL77" s="205"/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  <c r="AY77" s="205"/>
      <c r="AZ77" s="205"/>
      <c r="BA77" s="205"/>
      <c r="BB77" s="205"/>
      <c r="BC77" s="205"/>
      <c r="BD77" s="205"/>
      <c r="BE77" s="205"/>
      <c r="BF77" s="205"/>
      <c r="BG77" s="205"/>
      <c r="BH77" s="205"/>
      <c r="BI77" s="205"/>
      <c r="BJ77" s="205"/>
      <c r="BK77" s="205"/>
      <c r="BL77" s="205"/>
      <c r="BM77" s="205"/>
      <c r="BN77" s="205"/>
      <c r="BO77" s="205"/>
      <c r="BP77" s="205"/>
      <c r="BQ77" s="205"/>
      <c r="BR77" s="205"/>
      <c r="BS77" s="205"/>
      <c r="BT77" s="205"/>
      <c r="BU77" s="205"/>
      <c r="BV77" s="205"/>
      <c r="BW77" s="205"/>
      <c r="BX77" s="205"/>
      <c r="BY77" s="205"/>
      <c r="BZ77" s="205"/>
      <c r="CA77" s="205"/>
    </row>
    <row r="78" spans="5:79">
      <c r="E78" s="204"/>
      <c r="G78" s="205"/>
      <c r="H78" s="205"/>
      <c r="I78" s="205"/>
      <c r="J78" s="205"/>
      <c r="K78" s="205"/>
      <c r="L78" s="205"/>
      <c r="M78" s="205"/>
      <c r="N78" s="205"/>
      <c r="O78" s="205"/>
      <c r="P78" s="205"/>
      <c r="Q78" s="205"/>
      <c r="R78" s="205"/>
      <c r="S78" s="205"/>
      <c r="T78" s="205"/>
      <c r="U78" s="205"/>
      <c r="V78" s="205"/>
      <c r="W78" s="205"/>
      <c r="X78" s="205"/>
      <c r="Y78" s="205"/>
      <c r="Z78" s="205"/>
      <c r="AA78" s="205"/>
      <c r="AB78" s="205"/>
      <c r="AC78" s="205"/>
      <c r="AD78" s="205"/>
      <c r="AE78" s="205"/>
      <c r="AF78" s="205"/>
      <c r="AG78" s="205"/>
      <c r="AH78" s="205"/>
      <c r="AI78" s="205"/>
      <c r="AJ78" s="205"/>
      <c r="AK78" s="205"/>
      <c r="AL78" s="205"/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  <c r="AY78" s="205"/>
      <c r="AZ78" s="205"/>
      <c r="BA78" s="205"/>
      <c r="BB78" s="205"/>
      <c r="BC78" s="205"/>
      <c r="BD78" s="205"/>
      <c r="BE78" s="205"/>
      <c r="BF78" s="205"/>
      <c r="BG78" s="205"/>
      <c r="BH78" s="205"/>
      <c r="BI78" s="205"/>
      <c r="BJ78" s="205"/>
      <c r="BK78" s="205"/>
      <c r="BL78" s="205"/>
      <c r="BM78" s="205"/>
      <c r="BN78" s="205"/>
      <c r="BO78" s="205"/>
      <c r="BP78" s="205"/>
      <c r="BQ78" s="205"/>
      <c r="BR78" s="205"/>
      <c r="BS78" s="205"/>
      <c r="BT78" s="205"/>
      <c r="BU78" s="205"/>
      <c r="BV78" s="205"/>
      <c r="BW78" s="205"/>
      <c r="BX78" s="205"/>
      <c r="BY78" s="205"/>
      <c r="BZ78" s="205"/>
      <c r="CA78" s="205"/>
    </row>
    <row r="79" spans="5:79">
      <c r="E79" s="204"/>
      <c r="G79" s="205"/>
      <c r="H79" s="205"/>
      <c r="I79" s="205"/>
      <c r="J79" s="205"/>
      <c r="K79" s="205"/>
      <c r="L79" s="205"/>
      <c r="M79" s="205"/>
      <c r="N79" s="205"/>
      <c r="O79" s="205"/>
      <c r="P79" s="205"/>
      <c r="Q79" s="205"/>
      <c r="R79" s="205"/>
      <c r="S79" s="205"/>
      <c r="T79" s="205"/>
      <c r="U79" s="205"/>
      <c r="V79" s="205"/>
      <c r="W79" s="205"/>
      <c r="X79" s="205"/>
      <c r="Y79" s="205"/>
      <c r="Z79" s="205"/>
      <c r="AA79" s="205"/>
      <c r="AB79" s="205"/>
      <c r="AC79" s="205"/>
      <c r="AD79" s="205"/>
      <c r="AE79" s="205"/>
      <c r="AF79" s="205"/>
      <c r="AG79" s="205"/>
      <c r="AH79" s="205"/>
      <c r="AI79" s="205"/>
      <c r="AJ79" s="205"/>
      <c r="AK79" s="205"/>
      <c r="AL79" s="205"/>
      <c r="AM79" s="205"/>
      <c r="AN79" s="205"/>
      <c r="AO79" s="205"/>
      <c r="AP79" s="205"/>
      <c r="AQ79" s="205"/>
      <c r="AR79" s="205"/>
      <c r="AS79" s="205"/>
      <c r="AT79" s="205"/>
      <c r="AU79" s="205"/>
      <c r="AV79" s="205"/>
      <c r="AW79" s="205"/>
      <c r="AX79" s="205"/>
      <c r="AY79" s="205"/>
      <c r="AZ79" s="205"/>
      <c r="BA79" s="205"/>
      <c r="BB79" s="205"/>
      <c r="BC79" s="205"/>
      <c r="BD79" s="205"/>
      <c r="BE79" s="205"/>
      <c r="BF79" s="205"/>
      <c r="BG79" s="205"/>
      <c r="BH79" s="205"/>
      <c r="BI79" s="205"/>
      <c r="BJ79" s="205"/>
      <c r="BK79" s="205"/>
      <c r="BL79" s="205"/>
      <c r="BM79" s="205"/>
      <c r="BN79" s="205"/>
      <c r="BO79" s="205"/>
      <c r="BP79" s="205"/>
      <c r="BQ79" s="205"/>
      <c r="BR79" s="205"/>
      <c r="BS79" s="205"/>
      <c r="BT79" s="205"/>
      <c r="BU79" s="205"/>
      <c r="BV79" s="205"/>
      <c r="BW79" s="205"/>
      <c r="BX79" s="205"/>
      <c r="BY79" s="205"/>
      <c r="BZ79" s="205"/>
      <c r="CA79" s="20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schd_pmts">
                <anchor moveWithCells="1" sizeWithCells="1">
                  <from>
                    <xdr:col>1</xdr:col>
                    <xdr:colOff>266700</xdr:colOff>
                    <xdr:row>15</xdr:row>
                    <xdr:rowOff>152400</xdr:rowOff>
                  </from>
                  <to>
                    <xdr:col>3</xdr:col>
                    <xdr:colOff>228600</xdr:colOff>
                    <xdr:row>17</xdr:row>
                    <xdr:rowOff>27214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>
    <tabColor theme="1"/>
  </sheetPr>
  <dimension ref="A1:CB5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C2" sqref="C2:C9"/>
    </sheetView>
  </sheetViews>
  <sheetFormatPr defaultColWidth="10.84375" defaultRowHeight="14.6"/>
  <cols>
    <col min="1" max="1" width="6.15234375" bestFit="1" customWidth="1"/>
    <col min="2" max="2" width="10.61328125" bestFit="1" customWidth="1"/>
    <col min="3" max="3" width="19.84375" bestFit="1" customWidth="1"/>
    <col min="4" max="4" width="10.61328125" bestFit="1" customWidth="1"/>
    <col min="5" max="6" width="10.61328125" style="75" customWidth="1"/>
    <col min="7" max="62" width="10.61328125" style="129" bestFit="1" customWidth="1"/>
    <col min="63" max="71" width="10.61328125" bestFit="1" customWidth="1"/>
  </cols>
  <sheetData>
    <row r="1" spans="1:80">
      <c r="A1" t="s">
        <v>427</v>
      </c>
      <c r="B1" s="130">
        <f>+intercambio!B4</f>
        <v>43792</v>
      </c>
      <c r="C1" s="129" t="s">
        <v>402</v>
      </c>
      <c r="D1" s="129" t="s">
        <v>498</v>
      </c>
      <c r="E1" s="132" t="s">
        <v>496</v>
      </c>
      <c r="F1" s="132" t="s">
        <v>497</v>
      </c>
      <c r="G1" s="129">
        <v>1</v>
      </c>
      <c r="H1" s="129">
        <v>2</v>
      </c>
      <c r="I1" s="129">
        <v>3</v>
      </c>
      <c r="J1" s="129">
        <v>4</v>
      </c>
      <c r="K1" s="129">
        <v>5</v>
      </c>
      <c r="L1" s="129">
        <v>6</v>
      </c>
      <c r="M1" s="129">
        <v>7</v>
      </c>
      <c r="N1" s="129">
        <v>8</v>
      </c>
      <c r="O1" s="129">
        <v>9</v>
      </c>
      <c r="P1" s="129">
        <v>10</v>
      </c>
      <c r="Q1" s="129">
        <v>11</v>
      </c>
      <c r="R1" s="129">
        <v>12</v>
      </c>
      <c r="S1" s="129">
        <v>13</v>
      </c>
      <c r="T1" s="129">
        <v>14</v>
      </c>
      <c r="U1" s="129">
        <v>15</v>
      </c>
      <c r="V1" s="129">
        <v>16</v>
      </c>
      <c r="W1" s="129">
        <v>17</v>
      </c>
      <c r="X1" s="129">
        <v>18</v>
      </c>
      <c r="Y1" s="129">
        <v>19</v>
      </c>
      <c r="Z1" s="129">
        <v>20</v>
      </c>
      <c r="AA1" s="129">
        <v>21</v>
      </c>
      <c r="AB1" s="129">
        <v>22</v>
      </c>
      <c r="AC1" s="129">
        <v>23</v>
      </c>
      <c r="AD1" s="129">
        <v>24</v>
      </c>
      <c r="AE1" s="129">
        <v>25</v>
      </c>
      <c r="AF1" s="129">
        <v>26</v>
      </c>
      <c r="AG1" s="129">
        <v>27</v>
      </c>
      <c r="AH1" s="129">
        <v>28</v>
      </c>
      <c r="AI1" s="129">
        <v>29</v>
      </c>
      <c r="AJ1" s="129">
        <v>30</v>
      </c>
      <c r="AK1" s="129">
        <v>31</v>
      </c>
      <c r="AL1" s="129">
        <v>32</v>
      </c>
      <c r="AM1" s="129">
        <v>33</v>
      </c>
      <c r="AN1" s="129">
        <v>34</v>
      </c>
      <c r="AO1" s="129">
        <v>35</v>
      </c>
      <c r="AP1" s="129">
        <v>36</v>
      </c>
      <c r="AQ1" s="129">
        <v>37</v>
      </c>
      <c r="AR1" s="129">
        <v>38</v>
      </c>
      <c r="AS1" s="129">
        <v>39</v>
      </c>
      <c r="AT1" s="129">
        <v>40</v>
      </c>
      <c r="AU1" s="129">
        <v>41</v>
      </c>
      <c r="AV1" s="129">
        <v>42</v>
      </c>
      <c r="AW1" s="129">
        <v>43</v>
      </c>
      <c r="AX1" s="129">
        <v>44</v>
      </c>
      <c r="AY1" s="129">
        <v>45</v>
      </c>
      <c r="AZ1" s="129">
        <v>46</v>
      </c>
      <c r="BA1" s="129">
        <v>47</v>
      </c>
      <c r="BB1" s="129">
        <v>48</v>
      </c>
      <c r="BC1" s="129">
        <v>49</v>
      </c>
      <c r="BD1" s="129">
        <v>50</v>
      </c>
      <c r="BE1" s="129">
        <v>51</v>
      </c>
      <c r="BF1" s="129">
        <v>52</v>
      </c>
      <c r="BG1" s="129">
        <v>53</v>
      </c>
      <c r="BH1" s="129">
        <v>54</v>
      </c>
      <c r="BI1" s="129">
        <v>55</v>
      </c>
      <c r="BJ1" s="129">
        <v>56</v>
      </c>
      <c r="BK1" s="129">
        <v>57</v>
      </c>
      <c r="BL1" s="129">
        <v>58</v>
      </c>
      <c r="BM1" s="129">
        <v>59</v>
      </c>
      <c r="BN1" s="129">
        <v>60</v>
      </c>
      <c r="BO1" s="129">
        <v>61</v>
      </c>
      <c r="BP1" s="129">
        <v>62</v>
      </c>
      <c r="BQ1" s="129">
        <v>63</v>
      </c>
      <c r="BR1" s="129">
        <v>64</v>
      </c>
      <c r="BS1" s="129">
        <v>65</v>
      </c>
      <c r="BT1" s="129">
        <v>66</v>
      </c>
      <c r="BU1" s="129">
        <v>67</v>
      </c>
      <c r="BV1" s="129">
        <v>68</v>
      </c>
      <c r="BW1" s="129">
        <v>69</v>
      </c>
      <c r="BX1" s="129">
        <v>70</v>
      </c>
      <c r="BY1" s="129">
        <v>71</v>
      </c>
      <c r="BZ1" s="129">
        <v>72</v>
      </c>
      <c r="CA1" s="129">
        <v>73</v>
      </c>
      <c r="CB1" s="129">
        <v>74</v>
      </c>
    </row>
    <row r="2" spans="1:80" s="130" customFormat="1">
      <c r="C2" s="129" t="s">
        <v>219</v>
      </c>
      <c r="D2" s="129" t="str">
        <f ca="1">+OFFSET(bd_bonos!$A$1,MATCH(bond_calc!$A2,bd_bonos!$A$1:$A$28,0)-1,11)</f>
        <v>30/03/2019</v>
      </c>
      <c r="E2" s="134">
        <f t="array" aca="1" ref="E2" ca="1">+IF(MAX(($G2:$CB2&lt;$B$1)*$G2:$CB2)=0,"",MAX(($G2:$CB2&lt;$B$1)*$G2:$CB2))</f>
        <v>43554</v>
      </c>
      <c r="F2" s="134" t="str">
        <f t="array" aca="1" ref="F2" ca="1">+IF(MIN(IF($G2:$CB2&gt;$B$1,$G2:$CB2))=0,"",MIN(IF($G2:$CB2&gt;$B$1,$G2:$CB2)))</f>
        <v/>
      </c>
      <c r="G2" s="131">
        <f ca="1">+EDATE($D2,-6)</f>
        <v>43373</v>
      </c>
      <c r="H2" s="131">
        <f ca="1">+EDATE($G2,6)</f>
        <v>43554</v>
      </c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1"/>
      <c r="BE2" s="131"/>
      <c r="BF2" s="131"/>
      <c r="BG2" s="131"/>
      <c r="BH2" s="131"/>
      <c r="BI2" s="131"/>
      <c r="BJ2" s="131"/>
    </row>
    <row r="3" spans="1:80" s="130" customFormat="1">
      <c r="B3" s="9"/>
      <c r="C3" s="129" t="s">
        <v>227</v>
      </c>
      <c r="D3" s="201" t="str">
        <f ca="1">+OFFSET(bd_bonos!$A$1,MATCH(bond_calc!$A3,bd_bonos!$A$1:$A$28,0)-1,11)</f>
        <v>21/07/2025</v>
      </c>
      <c r="E3" s="134">
        <f t="array" ref="E3">+IF(MAX(($G3:$CB3&lt;$B$1)*$G3:$CB3)=0,"",MAX(($G3:$CB3&lt;$B$1)*$G3:$CB3))</f>
        <v>43667</v>
      </c>
      <c r="F3" s="202">
        <f t="array" ref="F3">+IF(MIN(IF($G3:$CB3&gt;$B$1,$G3:$CB3))=0,"",MIN(IF($G3:$CB3&gt;$B$1,$G3:$CB3)))</f>
        <v>43851</v>
      </c>
      <c r="G3" s="131">
        <v>43302</v>
      </c>
      <c r="H3" s="131">
        <f>+EDATE(G3,6)</f>
        <v>43486</v>
      </c>
      <c r="I3" s="131">
        <f>+EDATE(H3,6)</f>
        <v>43667</v>
      </c>
      <c r="J3" s="131">
        <f t="shared" ref="J3:U3" si="0">+EDATE(I3,6)</f>
        <v>43851</v>
      </c>
      <c r="K3" s="131">
        <f t="shared" si="0"/>
        <v>44033</v>
      </c>
      <c r="L3" s="131">
        <f t="shared" si="0"/>
        <v>44217</v>
      </c>
      <c r="M3" s="131">
        <f t="shared" si="0"/>
        <v>44398</v>
      </c>
      <c r="N3" s="131">
        <f t="shared" si="0"/>
        <v>44582</v>
      </c>
      <c r="O3" s="131">
        <f t="shared" si="0"/>
        <v>44763</v>
      </c>
      <c r="P3" s="131">
        <f t="shared" si="0"/>
        <v>44947</v>
      </c>
      <c r="Q3" s="131">
        <f t="shared" si="0"/>
        <v>45128</v>
      </c>
      <c r="R3" s="131">
        <f t="shared" si="0"/>
        <v>45312</v>
      </c>
      <c r="S3" s="131">
        <f>+EDATE(R3,6)</f>
        <v>45494</v>
      </c>
      <c r="T3" s="131">
        <f t="shared" si="0"/>
        <v>45678</v>
      </c>
      <c r="U3" s="131">
        <f t="shared" si="0"/>
        <v>45859</v>
      </c>
      <c r="V3" s="131"/>
      <c r="W3" s="131"/>
      <c r="X3" s="131"/>
      <c r="Y3" s="131"/>
      <c r="Z3" s="131"/>
      <c r="AA3" s="131"/>
      <c r="AB3" s="131"/>
      <c r="AC3" s="131"/>
      <c r="AD3" s="131"/>
      <c r="AE3" s="131"/>
      <c r="AF3" s="131"/>
      <c r="AG3" s="131"/>
      <c r="AH3" s="131"/>
      <c r="AI3" s="131"/>
      <c r="AJ3" s="131"/>
      <c r="AK3" s="131"/>
      <c r="AL3" s="131"/>
      <c r="AM3" s="131"/>
      <c r="AN3" s="131"/>
      <c r="AO3" s="131"/>
      <c r="AP3" s="131"/>
      <c r="AQ3" s="131"/>
      <c r="AR3" s="131"/>
      <c r="AS3" s="131"/>
      <c r="AT3" s="131"/>
      <c r="AU3" s="131"/>
      <c r="AV3" s="131"/>
      <c r="AW3" s="131"/>
      <c r="AX3" s="131"/>
      <c r="AY3" s="131"/>
      <c r="AZ3" s="131"/>
      <c r="BA3" s="131"/>
      <c r="BB3" s="131"/>
      <c r="BC3" s="131"/>
      <c r="BD3" s="131"/>
      <c r="BE3" s="131"/>
      <c r="BF3" s="131"/>
      <c r="BG3" s="131"/>
      <c r="BH3" s="131"/>
      <c r="BI3" s="131"/>
      <c r="BJ3" s="131"/>
    </row>
    <row r="4" spans="1:80" s="130" customFormat="1">
      <c r="C4" s="135" t="s">
        <v>233</v>
      </c>
      <c r="D4" s="201" t="str">
        <f ca="1">+OFFSET(bd_bonos!$A$1,MATCH(bond_calc!$A4,bd_bonos!$A$1:$A$28,0)-1,11)</f>
        <v>30/01/2026</v>
      </c>
      <c r="E4" s="134">
        <f t="array" ref="E4">+IF(MAX(($G4:$CB4&lt;$B$1)*$G4:$CB4)=0,"",MAX(($G4:$CB4&lt;$B$1)*$G4:$CB4))</f>
        <v>43495</v>
      </c>
      <c r="F4" s="202">
        <f t="array" ref="F4">+IF(MIN(IF($G4:$CB4&gt;$B$1,$G4:$CB4))=0,"",MIN(IF($G4:$CB4&gt;$B$1,$G4:$CB4)))</f>
        <v>43860</v>
      </c>
      <c r="G4" s="131">
        <v>43130</v>
      </c>
      <c r="H4" s="131">
        <f>+EDATE(G4,12)</f>
        <v>43495</v>
      </c>
      <c r="I4" s="131">
        <f t="shared" ref="I4:O4" si="1">+EDATE(H4,12)</f>
        <v>43860</v>
      </c>
      <c r="J4" s="131">
        <f t="shared" si="1"/>
        <v>44226</v>
      </c>
      <c r="K4" s="131">
        <f t="shared" si="1"/>
        <v>44591</v>
      </c>
      <c r="L4" s="131">
        <f t="shared" si="1"/>
        <v>44956</v>
      </c>
      <c r="M4" s="131">
        <f t="shared" si="1"/>
        <v>45321</v>
      </c>
      <c r="N4" s="131">
        <f>+EDATE(M4,12)</f>
        <v>45687</v>
      </c>
      <c r="O4" s="131">
        <f t="shared" si="1"/>
        <v>46052</v>
      </c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  <c r="AV4" s="131"/>
      <c r="AW4" s="131"/>
      <c r="AX4" s="131"/>
      <c r="AY4" s="131"/>
      <c r="AZ4" s="131"/>
      <c r="BA4" s="131"/>
      <c r="BB4" s="131"/>
      <c r="BC4" s="131"/>
      <c r="BD4" s="131"/>
      <c r="BE4" s="131"/>
      <c r="BF4" s="131"/>
      <c r="BG4" s="131"/>
      <c r="BH4" s="131"/>
      <c r="BI4" s="131"/>
      <c r="BJ4" s="131"/>
    </row>
    <row r="5" spans="1:80" s="130" customFormat="1">
      <c r="C5" s="129" t="s">
        <v>242</v>
      </c>
      <c r="D5" s="129" t="str">
        <f ca="1">+OFFSET(bd_bonos!$A$1,MATCH(bond_calc!$A5,bd_bonos!$A$1:$A$28,0)-1,11)</f>
        <v>25/08/2027</v>
      </c>
      <c r="E5" s="134">
        <f t="array" ref="E5">+IF(MAX(($G5:$CB5&lt;$B$1)*$G5:$CB5)=0,"",MAX(($G5:$CB5&lt;$B$1)*$G5:$CB5))</f>
        <v>43702</v>
      </c>
      <c r="F5" s="202">
        <f t="array" ref="F5">+IF(MIN(IF($G5:$CB5&gt;$B$1,$G5:$CB5))=0,"",MIN(IF($G5:$CB5&gt;$B$1,$G5:$CB5)))</f>
        <v>43886</v>
      </c>
      <c r="G5" s="131">
        <v>43337</v>
      </c>
      <c r="H5" s="131">
        <f>+EDATE(G5,6)</f>
        <v>43521</v>
      </c>
      <c r="I5" s="131">
        <f>+EDATE(H5,6)</f>
        <v>43702</v>
      </c>
      <c r="J5" s="131">
        <f t="shared" ref="J5:W5" si="2">+EDATE(I5,6)</f>
        <v>43886</v>
      </c>
      <c r="K5" s="131">
        <f t="shared" si="2"/>
        <v>44068</v>
      </c>
      <c r="L5" s="131">
        <f t="shared" si="2"/>
        <v>44252</v>
      </c>
      <c r="M5" s="131">
        <f t="shared" si="2"/>
        <v>44433</v>
      </c>
      <c r="N5" s="131">
        <f t="shared" si="2"/>
        <v>44617</v>
      </c>
      <c r="O5" s="131">
        <f t="shared" si="2"/>
        <v>44798</v>
      </c>
      <c r="P5" s="131">
        <f t="shared" si="2"/>
        <v>44982</v>
      </c>
      <c r="Q5" s="131">
        <f t="shared" si="2"/>
        <v>45163</v>
      </c>
      <c r="R5" s="131">
        <f t="shared" si="2"/>
        <v>45347</v>
      </c>
      <c r="S5" s="131">
        <f t="shared" si="2"/>
        <v>45529</v>
      </c>
      <c r="T5" s="131">
        <f t="shared" si="2"/>
        <v>45713</v>
      </c>
      <c r="U5" s="131">
        <f t="shared" si="2"/>
        <v>45894</v>
      </c>
      <c r="V5" s="131">
        <f t="shared" si="2"/>
        <v>46078</v>
      </c>
      <c r="W5" s="131">
        <f t="shared" si="2"/>
        <v>46259</v>
      </c>
      <c r="X5" s="131">
        <f>+EDATE(W5,6)</f>
        <v>46443</v>
      </c>
      <c r="Y5" s="131">
        <f>+EDATE(X5,6)</f>
        <v>46624</v>
      </c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/>
      <c r="AX5" s="131"/>
      <c r="AY5" s="131"/>
      <c r="AZ5" s="131"/>
      <c r="BA5" s="131"/>
      <c r="BB5" s="131"/>
      <c r="BC5" s="131"/>
      <c r="BD5" s="131"/>
      <c r="BE5" s="131"/>
      <c r="BF5" s="131"/>
      <c r="BG5" s="131"/>
      <c r="BH5" s="131"/>
      <c r="BI5" s="131"/>
      <c r="BJ5" s="131"/>
    </row>
    <row r="6" spans="1:80" s="130" customFormat="1">
      <c r="C6" s="135" t="s">
        <v>247</v>
      </c>
      <c r="D6" s="129" t="str">
        <f ca="1">+OFFSET(bd_bonos!$A$1,MATCH(bond_calc!$A6,bd_bonos!$A$1:$A$28,0)-1,11)</f>
        <v>01/03/2030</v>
      </c>
      <c r="E6" s="202">
        <f t="array" ref="E6">+IF(MAX(($G6:$CB6&lt;$B$1)*$G6:$CB6)=0,"",MAX(($G6:$CB6&lt;$B$1)*$G6:$CB6))</f>
        <v>43525</v>
      </c>
      <c r="F6" s="202">
        <f t="array" ref="F6">+IF(MIN(IF($G6:$CB6&gt;$B$1,$G6:$CB6))=0,"",MIN(IF($G6:$CB6&gt;$B$1,$G6:$CB6)))</f>
        <v>43891</v>
      </c>
      <c r="G6" s="131">
        <v>43160</v>
      </c>
      <c r="H6" s="131">
        <f>+EDATE(G6,12)</f>
        <v>43525</v>
      </c>
      <c r="I6" s="131">
        <f t="shared" ref="I6:R6" si="3">+EDATE(H6,12)</f>
        <v>43891</v>
      </c>
      <c r="J6" s="131">
        <f t="shared" si="3"/>
        <v>44256</v>
      </c>
      <c r="K6" s="131">
        <f t="shared" si="3"/>
        <v>44621</v>
      </c>
      <c r="L6" s="131">
        <f t="shared" si="3"/>
        <v>44986</v>
      </c>
      <c r="M6" s="131">
        <f t="shared" si="3"/>
        <v>45352</v>
      </c>
      <c r="N6" s="131">
        <f t="shared" si="3"/>
        <v>45717</v>
      </c>
      <c r="O6" s="131">
        <f t="shared" si="3"/>
        <v>46082</v>
      </c>
      <c r="P6" s="131">
        <f t="shared" si="3"/>
        <v>46447</v>
      </c>
      <c r="Q6" s="131">
        <f t="shared" si="3"/>
        <v>46813</v>
      </c>
      <c r="R6" s="131">
        <f t="shared" si="3"/>
        <v>47178</v>
      </c>
      <c r="S6" s="131">
        <f>+EDATE(R6,12)</f>
        <v>47543</v>
      </c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131"/>
      <c r="AT6" s="131"/>
      <c r="AU6" s="131"/>
      <c r="AV6" s="131"/>
      <c r="AW6" s="131"/>
      <c r="AX6" s="131"/>
      <c r="AY6" s="131"/>
      <c r="AZ6" s="131"/>
      <c r="BA6" s="131"/>
      <c r="BB6" s="131"/>
      <c r="BC6" s="131"/>
      <c r="BD6" s="131"/>
      <c r="BE6" s="131"/>
      <c r="BF6" s="131"/>
      <c r="BG6" s="131"/>
      <c r="BH6" s="131"/>
      <c r="BI6" s="131"/>
      <c r="BJ6" s="131"/>
    </row>
    <row r="7" spans="1:80" s="130" customFormat="1">
      <c r="C7" s="129" t="s">
        <v>252</v>
      </c>
      <c r="D7" s="129" t="str">
        <f ca="1">+OFFSET(bd_bonos!$A$1,MATCH(bond_calc!$A7,bd_bonos!$A$1:$A$28,0)-1,11)</f>
        <v>21/11/2033</v>
      </c>
      <c r="E7" s="202">
        <f t="array" ref="E7">+IF(MAX(($G7:$CB7&lt;$B$1)*$G7:$CB7)=0,"",MAX(($G7:$CB7&lt;$B$1)*$G7:$CB7))</f>
        <v>43790</v>
      </c>
      <c r="F7" s="202">
        <f t="array" ref="F7">+IF(MIN(IF($G7:$CB7&gt;$B$1,$G7:$CB7))=0,"",MIN(IF($G7:$CB7&gt;$B$1,$G7:$CB7)))</f>
        <v>43972</v>
      </c>
      <c r="G7" s="131">
        <v>43425</v>
      </c>
      <c r="H7" s="131">
        <f>+EDATE(G7,6)</f>
        <v>43606</v>
      </c>
      <c r="I7" s="131">
        <f>+EDATE(H7,6)</f>
        <v>43790</v>
      </c>
      <c r="J7" s="131">
        <f t="shared" ref="J7:AE7" si="4">+EDATE(I7,6)</f>
        <v>43972</v>
      </c>
      <c r="K7" s="131">
        <f t="shared" si="4"/>
        <v>44156</v>
      </c>
      <c r="L7" s="131">
        <f t="shared" si="4"/>
        <v>44337</v>
      </c>
      <c r="M7" s="131">
        <f t="shared" si="4"/>
        <v>44521</v>
      </c>
      <c r="N7" s="131">
        <f t="shared" si="4"/>
        <v>44702</v>
      </c>
      <c r="O7" s="131">
        <f t="shared" si="4"/>
        <v>44886</v>
      </c>
      <c r="P7" s="131">
        <f t="shared" si="4"/>
        <v>45067</v>
      </c>
      <c r="Q7" s="131">
        <f t="shared" si="4"/>
        <v>45251</v>
      </c>
      <c r="R7" s="131">
        <f t="shared" si="4"/>
        <v>45433</v>
      </c>
      <c r="S7" s="131">
        <f t="shared" si="4"/>
        <v>45617</v>
      </c>
      <c r="T7" s="131">
        <f t="shared" si="4"/>
        <v>45798</v>
      </c>
      <c r="U7" s="131">
        <f t="shared" si="4"/>
        <v>45982</v>
      </c>
      <c r="V7" s="131">
        <f t="shared" si="4"/>
        <v>46163</v>
      </c>
      <c r="W7" s="131">
        <f t="shared" si="4"/>
        <v>46347</v>
      </c>
      <c r="X7" s="131">
        <f t="shared" si="4"/>
        <v>46528</v>
      </c>
      <c r="Y7" s="131">
        <f t="shared" si="4"/>
        <v>46712</v>
      </c>
      <c r="Z7" s="131">
        <f t="shared" si="4"/>
        <v>46894</v>
      </c>
      <c r="AA7" s="131">
        <f t="shared" si="4"/>
        <v>47078</v>
      </c>
      <c r="AB7" s="131">
        <f t="shared" si="4"/>
        <v>47259</v>
      </c>
      <c r="AC7" s="131">
        <f t="shared" si="4"/>
        <v>47443</v>
      </c>
      <c r="AD7" s="131">
        <f t="shared" si="4"/>
        <v>47624</v>
      </c>
      <c r="AE7" s="131">
        <f t="shared" si="4"/>
        <v>47808</v>
      </c>
      <c r="AF7" s="131">
        <f>+EDATE(AE7,6)</f>
        <v>47989</v>
      </c>
      <c r="AG7" s="131">
        <f>+EDATE(AF7,6)</f>
        <v>48173</v>
      </c>
      <c r="AH7" s="131">
        <f>+EDATE(AG7,6)</f>
        <v>48355</v>
      </c>
      <c r="AI7" s="131">
        <f>+EDATE(AH7,6)</f>
        <v>48539</v>
      </c>
      <c r="AJ7" s="131">
        <f t="shared" ref="AJ7:AK7" si="5">+EDATE(AI7,6)</f>
        <v>48720</v>
      </c>
      <c r="AK7" s="131">
        <f t="shared" si="5"/>
        <v>48904</v>
      </c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131"/>
      <c r="BH7" s="131"/>
      <c r="BI7" s="131"/>
      <c r="BJ7" s="131"/>
    </row>
    <row r="8" spans="1:80" s="130" customFormat="1">
      <c r="C8" s="129" t="s">
        <v>258</v>
      </c>
      <c r="D8" s="129" t="str">
        <f ca="1">+OFFSET(bd_bonos!$A$1,MATCH(bond_calc!$A8,bd_bonos!$A$1:$A$28,0)-1,11)</f>
        <v>14/03/2037</v>
      </c>
      <c r="E8" s="202">
        <f t="array" ref="E8">+IF(MAX(($G8:$CB8&lt;$B$1)*$G8:$CB8)=0,"",MAX(($G8:$CB8&lt;$B$1)*$G8:$CB8))</f>
        <v>43722</v>
      </c>
      <c r="F8" s="202">
        <f t="array" ref="F8">+IF(MIN(IF($G8:$CB8&gt;$B$1,$G8:$CB8))=0,"",MIN(IF($G8:$CB8&gt;$B$1,$G8:$CB8)))</f>
        <v>43904</v>
      </c>
      <c r="G8" s="131">
        <v>43357</v>
      </c>
      <c r="H8" s="131">
        <f t="shared" ref="H8:H27" si="6">+EDATE(G8,6)</f>
        <v>43538</v>
      </c>
      <c r="I8" s="131">
        <f t="shared" ref="I8:AR8" si="7">+EDATE(H8,6)</f>
        <v>43722</v>
      </c>
      <c r="J8" s="131">
        <f t="shared" si="7"/>
        <v>43904</v>
      </c>
      <c r="K8" s="131">
        <f t="shared" si="7"/>
        <v>44088</v>
      </c>
      <c r="L8" s="131">
        <f t="shared" si="7"/>
        <v>44269</v>
      </c>
      <c r="M8" s="131">
        <f t="shared" si="7"/>
        <v>44453</v>
      </c>
      <c r="N8" s="131">
        <f t="shared" si="7"/>
        <v>44634</v>
      </c>
      <c r="O8" s="131">
        <f t="shared" si="7"/>
        <v>44818</v>
      </c>
      <c r="P8" s="131">
        <f t="shared" si="7"/>
        <v>44999</v>
      </c>
      <c r="Q8" s="131">
        <f t="shared" si="7"/>
        <v>45183</v>
      </c>
      <c r="R8" s="131">
        <f t="shared" si="7"/>
        <v>45365</v>
      </c>
      <c r="S8" s="131">
        <f t="shared" si="7"/>
        <v>45549</v>
      </c>
      <c r="T8" s="131">
        <f t="shared" si="7"/>
        <v>45730</v>
      </c>
      <c r="U8" s="131">
        <f t="shared" si="7"/>
        <v>45914</v>
      </c>
      <c r="V8" s="131">
        <f t="shared" si="7"/>
        <v>46095</v>
      </c>
      <c r="W8" s="131">
        <f t="shared" si="7"/>
        <v>46279</v>
      </c>
      <c r="X8" s="131">
        <f t="shared" si="7"/>
        <v>46460</v>
      </c>
      <c r="Y8" s="131">
        <f t="shared" si="7"/>
        <v>46644</v>
      </c>
      <c r="Z8" s="131">
        <f t="shared" si="7"/>
        <v>46826</v>
      </c>
      <c r="AA8" s="131">
        <f t="shared" si="7"/>
        <v>47010</v>
      </c>
      <c r="AB8" s="131">
        <f t="shared" si="7"/>
        <v>47191</v>
      </c>
      <c r="AC8" s="131">
        <f t="shared" si="7"/>
        <v>47375</v>
      </c>
      <c r="AD8" s="131">
        <f t="shared" si="7"/>
        <v>47556</v>
      </c>
      <c r="AE8" s="131">
        <f t="shared" si="7"/>
        <v>47740</v>
      </c>
      <c r="AF8" s="131">
        <f t="shared" si="7"/>
        <v>47921</v>
      </c>
      <c r="AG8" s="131">
        <f t="shared" si="7"/>
        <v>48105</v>
      </c>
      <c r="AH8" s="131">
        <f t="shared" si="7"/>
        <v>48287</v>
      </c>
      <c r="AI8" s="131">
        <f t="shared" si="7"/>
        <v>48471</v>
      </c>
      <c r="AJ8" s="131">
        <f t="shared" si="7"/>
        <v>48652</v>
      </c>
      <c r="AK8" s="131">
        <f t="shared" si="7"/>
        <v>48836</v>
      </c>
      <c r="AL8" s="131">
        <f t="shared" si="7"/>
        <v>49017</v>
      </c>
      <c r="AM8" s="131">
        <f t="shared" si="7"/>
        <v>49201</v>
      </c>
      <c r="AN8" s="131">
        <f t="shared" si="7"/>
        <v>49382</v>
      </c>
      <c r="AO8" s="131">
        <f t="shared" si="7"/>
        <v>49566</v>
      </c>
      <c r="AP8" s="131">
        <f t="shared" si="7"/>
        <v>49748</v>
      </c>
      <c r="AQ8" s="131">
        <f t="shared" si="7"/>
        <v>49932</v>
      </c>
      <c r="AR8" s="131">
        <f t="shared" si="7"/>
        <v>50113</v>
      </c>
      <c r="AS8" s="131"/>
      <c r="AT8" s="131"/>
      <c r="AU8" s="131"/>
      <c r="AV8" s="131"/>
      <c r="AW8" s="131"/>
      <c r="AX8" s="131"/>
      <c r="AY8" s="131"/>
      <c r="AZ8" s="131"/>
      <c r="BA8" s="131"/>
      <c r="BB8" s="131"/>
      <c r="BC8" s="131"/>
      <c r="BD8" s="131"/>
      <c r="BE8" s="131"/>
      <c r="BF8" s="131"/>
      <c r="BG8" s="131"/>
      <c r="BH8" s="131"/>
      <c r="BI8" s="131"/>
      <c r="BJ8" s="131"/>
    </row>
    <row r="9" spans="1:80" s="130" customFormat="1">
      <c r="C9" s="129" t="s">
        <v>263</v>
      </c>
      <c r="D9" s="129" t="str">
        <f ca="1">+OFFSET(bd_bonos!$A$1,MATCH(bond_calc!$A9,bd_bonos!$A$1:$A$28,0)-1,11)</f>
        <v>18/11/2050</v>
      </c>
      <c r="E9" s="202">
        <f t="array" ref="E9">+IF(MAX(($G9:$CB9&lt;$B$1)*$G9:$CB9)=0,"",MAX(($G9:$CB9&lt;$B$1)*$G9:$CB9))</f>
        <v>43787</v>
      </c>
      <c r="F9" s="202">
        <f t="array" ref="F9">+IF(MIN(IF($G9:$CB9&gt;$B$1,$G9:$CB9))=0,"",MIN(IF($G9:$CB9&gt;$B$1,$G9:$CB9)))</f>
        <v>43969</v>
      </c>
      <c r="G9" s="131">
        <v>43422</v>
      </c>
      <c r="H9" s="131">
        <f t="shared" si="6"/>
        <v>43603</v>
      </c>
      <c r="I9" s="131">
        <f t="shared" ref="I9:BR19" si="8">+EDATE(H9,6)</f>
        <v>43787</v>
      </c>
      <c r="J9" s="131">
        <f t="shared" si="8"/>
        <v>43969</v>
      </c>
      <c r="K9" s="131">
        <f t="shared" si="8"/>
        <v>44153</v>
      </c>
      <c r="L9" s="131">
        <f t="shared" si="8"/>
        <v>44334</v>
      </c>
      <c r="M9" s="131">
        <f t="shared" si="8"/>
        <v>44518</v>
      </c>
      <c r="N9" s="131">
        <f t="shared" si="8"/>
        <v>44699</v>
      </c>
      <c r="O9" s="131">
        <f t="shared" si="8"/>
        <v>44883</v>
      </c>
      <c r="P9" s="131">
        <f t="shared" si="8"/>
        <v>45064</v>
      </c>
      <c r="Q9" s="131">
        <f t="shared" si="8"/>
        <v>45248</v>
      </c>
      <c r="R9" s="131">
        <f t="shared" si="8"/>
        <v>45430</v>
      </c>
      <c r="S9" s="131">
        <f t="shared" si="8"/>
        <v>45614</v>
      </c>
      <c r="T9" s="131">
        <f t="shared" si="8"/>
        <v>45795</v>
      </c>
      <c r="U9" s="131">
        <f t="shared" si="8"/>
        <v>45979</v>
      </c>
      <c r="V9" s="131">
        <f t="shared" si="8"/>
        <v>46160</v>
      </c>
      <c r="W9" s="131">
        <f t="shared" si="8"/>
        <v>46344</v>
      </c>
      <c r="X9" s="131">
        <f t="shared" si="8"/>
        <v>46525</v>
      </c>
      <c r="Y9" s="131">
        <f t="shared" si="8"/>
        <v>46709</v>
      </c>
      <c r="Z9" s="131">
        <f t="shared" si="8"/>
        <v>46891</v>
      </c>
      <c r="AA9" s="131">
        <f t="shared" si="8"/>
        <v>47075</v>
      </c>
      <c r="AB9" s="131">
        <f t="shared" si="8"/>
        <v>47256</v>
      </c>
      <c r="AC9" s="131">
        <f t="shared" si="8"/>
        <v>47440</v>
      </c>
      <c r="AD9" s="131">
        <f t="shared" si="8"/>
        <v>47621</v>
      </c>
      <c r="AE9" s="131">
        <f t="shared" si="8"/>
        <v>47805</v>
      </c>
      <c r="AF9" s="131">
        <f t="shared" si="8"/>
        <v>47986</v>
      </c>
      <c r="AG9" s="131">
        <f t="shared" si="8"/>
        <v>48170</v>
      </c>
      <c r="AH9" s="131">
        <f t="shared" si="8"/>
        <v>48352</v>
      </c>
      <c r="AI9" s="131">
        <f t="shared" si="8"/>
        <v>48536</v>
      </c>
      <c r="AJ9" s="131">
        <f t="shared" si="8"/>
        <v>48717</v>
      </c>
      <c r="AK9" s="131">
        <f t="shared" si="8"/>
        <v>48901</v>
      </c>
      <c r="AL9" s="131">
        <f t="shared" si="8"/>
        <v>49082</v>
      </c>
      <c r="AM9" s="131">
        <f t="shared" si="8"/>
        <v>49266</v>
      </c>
      <c r="AN9" s="131">
        <f t="shared" si="8"/>
        <v>49447</v>
      </c>
      <c r="AO9" s="131">
        <f t="shared" si="8"/>
        <v>49631</v>
      </c>
      <c r="AP9" s="131">
        <f t="shared" si="8"/>
        <v>49813</v>
      </c>
      <c r="AQ9" s="131">
        <f t="shared" si="8"/>
        <v>49997</v>
      </c>
      <c r="AR9" s="131">
        <f t="shared" si="8"/>
        <v>50178</v>
      </c>
      <c r="AS9" s="131">
        <f t="shared" si="8"/>
        <v>50362</v>
      </c>
      <c r="AT9" s="131">
        <f t="shared" si="8"/>
        <v>50543</v>
      </c>
      <c r="AU9" s="131">
        <f t="shared" si="8"/>
        <v>50727</v>
      </c>
      <c r="AV9" s="131">
        <f t="shared" si="8"/>
        <v>50908</v>
      </c>
      <c r="AW9" s="131">
        <f t="shared" si="8"/>
        <v>51092</v>
      </c>
      <c r="AX9" s="131">
        <f t="shared" si="8"/>
        <v>51274</v>
      </c>
      <c r="AY9" s="131">
        <f t="shared" si="8"/>
        <v>51458</v>
      </c>
      <c r="AZ9" s="131">
        <f t="shared" si="8"/>
        <v>51639</v>
      </c>
      <c r="BA9" s="131">
        <f t="shared" si="8"/>
        <v>51823</v>
      </c>
      <c r="BB9" s="131">
        <f t="shared" si="8"/>
        <v>52004</v>
      </c>
      <c r="BC9" s="131">
        <f t="shared" si="8"/>
        <v>52188</v>
      </c>
      <c r="BD9" s="131">
        <f t="shared" si="8"/>
        <v>52369</v>
      </c>
      <c r="BE9" s="131">
        <f>+EDATE(BD9,6)</f>
        <v>52553</v>
      </c>
      <c r="BF9" s="131">
        <f t="shared" si="8"/>
        <v>52735</v>
      </c>
      <c r="BG9" s="131">
        <f t="shared" si="8"/>
        <v>52919</v>
      </c>
      <c r="BH9" s="131">
        <f t="shared" si="8"/>
        <v>53100</v>
      </c>
      <c r="BI9" s="131">
        <f t="shared" si="8"/>
        <v>53284</v>
      </c>
      <c r="BJ9" s="131">
        <f t="shared" si="8"/>
        <v>53465</v>
      </c>
      <c r="BK9" s="131">
        <f t="shared" si="8"/>
        <v>53649</v>
      </c>
      <c r="BL9" s="131">
        <f t="shared" si="8"/>
        <v>53830</v>
      </c>
      <c r="BM9" s="131">
        <f>+EDATE(BL9,6)</f>
        <v>54014</v>
      </c>
      <c r="BN9" s="131">
        <f t="shared" si="8"/>
        <v>54196</v>
      </c>
      <c r="BO9" s="131">
        <f t="shared" si="8"/>
        <v>54380</v>
      </c>
      <c r="BP9" s="131">
        <f t="shared" si="8"/>
        <v>54561</v>
      </c>
      <c r="BQ9" s="131">
        <f t="shared" si="8"/>
        <v>54745</v>
      </c>
      <c r="BR9" s="131">
        <f t="shared" si="8"/>
        <v>54926</v>
      </c>
      <c r="BS9" s="131">
        <f>+EDATE(BR9,6)</f>
        <v>55110</v>
      </c>
    </row>
    <row r="10" spans="1:80" s="130" customFormat="1">
      <c r="C10" s="129" t="s">
        <v>116</v>
      </c>
      <c r="D10" s="129" t="str">
        <f ca="1">+OFFSET(bd_bonos!$A$1,MATCH(bond_calc!$A10,bd_bonos!$A$1:$A$28,0)-1,11)</f>
        <v>12/08/2020</v>
      </c>
      <c r="E10" s="202">
        <f t="array" ref="E10">+IF(MAX(($G10:$CB10&lt;$B$1)*$G10:$CB10)=0,"",MAX(($G10:$CB10&lt;$B$1)*$G10:$CB10))</f>
        <v>43689</v>
      </c>
      <c r="F10" s="202">
        <f t="array" ref="F10">+IF(MIN(IF($G10:$CB10&gt;$B$1,$G10:$CB10))=0,"",MIN(IF($G10:$CB10&gt;$B$1,$G10:$CB10)))</f>
        <v>43873</v>
      </c>
      <c r="G10" s="131">
        <v>43324</v>
      </c>
      <c r="H10" s="131">
        <f t="shared" si="6"/>
        <v>43508</v>
      </c>
      <c r="I10" s="131">
        <f t="shared" si="8"/>
        <v>43689</v>
      </c>
      <c r="J10" s="131">
        <f t="shared" si="8"/>
        <v>43873</v>
      </c>
      <c r="K10" s="131">
        <f t="shared" si="8"/>
        <v>44055</v>
      </c>
      <c r="L10" s="131"/>
      <c r="M10" s="131"/>
      <c r="N10" s="131"/>
      <c r="O10" s="131"/>
      <c r="P10" s="131"/>
      <c r="Q10" s="131"/>
      <c r="R10" s="131"/>
      <c r="S10" s="131"/>
      <c r="T10" s="131"/>
      <c r="U10" s="131"/>
      <c r="V10" s="131"/>
      <c r="W10" s="131"/>
      <c r="X10" s="131"/>
      <c r="Y10" s="131"/>
      <c r="Z10" s="131"/>
      <c r="AA10" s="131"/>
      <c r="AB10" s="131"/>
      <c r="AC10" s="131"/>
      <c r="AD10" s="131"/>
      <c r="AE10" s="131"/>
      <c r="AF10" s="131"/>
      <c r="AG10" s="131"/>
      <c r="AH10" s="131"/>
      <c r="AI10" s="131"/>
      <c r="AJ10" s="131"/>
      <c r="AK10" s="131"/>
      <c r="AL10" s="131"/>
      <c r="AM10" s="131"/>
      <c r="AN10" s="131"/>
      <c r="AO10" s="131"/>
      <c r="AP10" s="131"/>
      <c r="AQ10" s="131"/>
      <c r="AR10" s="131"/>
      <c r="AS10" s="131"/>
      <c r="AT10" s="131"/>
      <c r="AU10" s="131"/>
      <c r="AV10" s="131"/>
      <c r="AW10" s="131"/>
      <c r="AX10" s="131"/>
      <c r="AY10" s="131"/>
      <c r="AZ10" s="131"/>
      <c r="BA10" s="131"/>
      <c r="BB10" s="131"/>
      <c r="BC10" s="131"/>
      <c r="BD10" s="131"/>
      <c r="BE10" s="131"/>
      <c r="BF10" s="131"/>
      <c r="BG10" s="131"/>
      <c r="BH10" s="131"/>
      <c r="BI10" s="131"/>
      <c r="BJ10" s="131"/>
    </row>
    <row r="11" spans="1:80" s="130" customFormat="1">
      <c r="C11" s="129" t="s">
        <v>117</v>
      </c>
      <c r="D11" s="129" t="str">
        <f ca="1">+OFFSET(bd_bonos!$A$1,MATCH(bond_calc!$A11,bd_bonos!$A$1:$A$28,0)-1,11)</f>
        <v>12/09/2023</v>
      </c>
      <c r="E11" s="202">
        <f t="array" ref="E11">+IF(MAX(($G11:$CB11&lt;$B$1)*$G11:$CB11)=0,"",MAX(($G11:$CB11&lt;$B$1)*$G11:$CB11))</f>
        <v>43720</v>
      </c>
      <c r="F11" s="202">
        <f t="array" ref="F11">+IF(MIN(IF($G11:$CB11&gt;$B$1,$G11:$CB11))=0,"",MIN(IF($G11:$CB11&gt;$B$1,$G11:$CB11)))</f>
        <v>43902</v>
      </c>
      <c r="G11" s="131">
        <v>43355</v>
      </c>
      <c r="H11" s="131">
        <f t="shared" si="6"/>
        <v>43536</v>
      </c>
      <c r="I11" s="131">
        <f t="shared" si="8"/>
        <v>43720</v>
      </c>
      <c r="J11" s="131">
        <f t="shared" si="8"/>
        <v>43902</v>
      </c>
      <c r="K11" s="131">
        <f t="shared" si="8"/>
        <v>44086</v>
      </c>
      <c r="L11" s="131">
        <f t="shared" si="8"/>
        <v>44267</v>
      </c>
      <c r="M11" s="131">
        <f t="shared" si="8"/>
        <v>44451</v>
      </c>
      <c r="N11" s="131">
        <f t="shared" si="8"/>
        <v>44632</v>
      </c>
      <c r="O11" s="131">
        <f t="shared" si="8"/>
        <v>44816</v>
      </c>
      <c r="P11" s="131">
        <f t="shared" si="8"/>
        <v>44997</v>
      </c>
      <c r="Q11" s="131">
        <f t="shared" si="8"/>
        <v>45181</v>
      </c>
      <c r="R11" s="131"/>
      <c r="S11" s="131"/>
      <c r="T11" s="131"/>
      <c r="U11" s="131"/>
      <c r="V11" s="131"/>
      <c r="W11" s="131"/>
      <c r="X11" s="131"/>
      <c r="Y11" s="131"/>
      <c r="Z11" s="131"/>
      <c r="AA11" s="131"/>
      <c r="AB11" s="131"/>
      <c r="AC11" s="131"/>
      <c r="AD11" s="131"/>
      <c r="AE11" s="131"/>
      <c r="AF11" s="131"/>
      <c r="AG11" s="131"/>
      <c r="AH11" s="131"/>
      <c r="AI11" s="131"/>
      <c r="AJ11" s="131"/>
      <c r="AK11" s="131"/>
      <c r="AL11" s="131"/>
      <c r="AM11" s="131"/>
      <c r="AN11" s="131"/>
      <c r="AO11" s="131"/>
      <c r="AP11" s="131"/>
      <c r="AQ11" s="131"/>
      <c r="AR11" s="131"/>
      <c r="AS11" s="131"/>
      <c r="AT11" s="131"/>
      <c r="AU11" s="131"/>
      <c r="AV11" s="131"/>
      <c r="AW11" s="131"/>
      <c r="AX11" s="131"/>
      <c r="AY11" s="131"/>
      <c r="AZ11" s="131"/>
      <c r="BA11" s="131"/>
      <c r="BB11" s="131"/>
      <c r="BC11" s="131"/>
      <c r="BD11" s="131"/>
      <c r="BE11" s="131"/>
      <c r="BF11" s="131"/>
      <c r="BG11" s="131"/>
      <c r="BH11" s="131"/>
      <c r="BI11" s="131"/>
      <c r="BJ11" s="131"/>
    </row>
    <row r="12" spans="1:80" s="130" customFormat="1">
      <c r="C12" s="129" t="s">
        <v>118</v>
      </c>
      <c r="D12" s="129" t="str">
        <f ca="1">+OFFSET(bd_bonos!$A$1,MATCH(bond_calc!$A12,bd_bonos!$A$1:$A$28,0)-1,11)</f>
        <v>12/08/2024</v>
      </c>
      <c r="E12" s="202">
        <f t="array" ref="E12">+IF(MAX(($G12:$CB12&lt;$B$1)*$G12:$CB12)=0,"",MAX(($G12:$CB12&lt;$B$1)*$G12:$CB12))</f>
        <v>43689</v>
      </c>
      <c r="F12" s="202">
        <f t="array" ref="F12">+IF(MIN(IF($G12:$CB12&gt;$B$1,$G12:$CB12))=0,"",MIN(IF($G12:$CB12&gt;$B$1,$G12:$CB12)))</f>
        <v>43873</v>
      </c>
      <c r="G12" s="131">
        <v>43324</v>
      </c>
      <c r="H12" s="131">
        <f t="shared" si="6"/>
        <v>43508</v>
      </c>
      <c r="I12" s="131">
        <f t="shared" si="8"/>
        <v>43689</v>
      </c>
      <c r="J12" s="131">
        <f t="shared" si="8"/>
        <v>43873</v>
      </c>
      <c r="K12" s="131">
        <f t="shared" si="8"/>
        <v>44055</v>
      </c>
      <c r="L12" s="131">
        <f t="shared" si="8"/>
        <v>44239</v>
      </c>
      <c r="M12" s="131">
        <f t="shared" si="8"/>
        <v>44420</v>
      </c>
      <c r="N12" s="131">
        <f t="shared" si="8"/>
        <v>44604</v>
      </c>
      <c r="O12" s="131">
        <f t="shared" si="8"/>
        <v>44785</v>
      </c>
      <c r="P12" s="131">
        <f t="shared" si="8"/>
        <v>44969</v>
      </c>
      <c r="Q12" s="131">
        <f t="shared" si="8"/>
        <v>45150</v>
      </c>
      <c r="R12" s="131">
        <f t="shared" si="8"/>
        <v>45334</v>
      </c>
      <c r="S12" s="131">
        <f t="shared" si="8"/>
        <v>45516</v>
      </c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</row>
    <row r="13" spans="1:80" s="130" customFormat="1">
      <c r="C13" s="129" t="s">
        <v>119</v>
      </c>
      <c r="D13" s="129" t="str">
        <f ca="1">+OFFSET(bd_bonos!$A$1,MATCH(bond_calc!$A13,bd_bonos!$A$1:$A$28,0)-1,11)</f>
        <v>12/08/2026</v>
      </c>
      <c r="E13" s="202">
        <f t="array" ref="E13">+IF(MAX(($G13:$CB13&lt;$B$1)*$G13:$CB13)=0,"",MAX(($G13:$CB13&lt;$B$1)*$G13:$CB13))</f>
        <v>43689</v>
      </c>
      <c r="F13" s="202">
        <f t="array" ref="F13">+IF(MIN(IF($G13:$CB13&gt;$B$1,$G13:$CB13))=0,"",MIN(IF($G13:$CB13&gt;$B$1,$G13:$CB13)))</f>
        <v>43873</v>
      </c>
      <c r="G13" s="131">
        <v>43324</v>
      </c>
      <c r="H13" s="131">
        <f t="shared" si="6"/>
        <v>43508</v>
      </c>
      <c r="I13" s="131">
        <f t="shared" si="8"/>
        <v>43689</v>
      </c>
      <c r="J13" s="131">
        <f t="shared" si="8"/>
        <v>43873</v>
      </c>
      <c r="K13" s="131">
        <f t="shared" si="8"/>
        <v>44055</v>
      </c>
      <c r="L13" s="131">
        <f t="shared" si="8"/>
        <v>44239</v>
      </c>
      <c r="M13" s="131">
        <f t="shared" si="8"/>
        <v>44420</v>
      </c>
      <c r="N13" s="131">
        <f t="shared" si="8"/>
        <v>44604</v>
      </c>
      <c r="O13" s="131">
        <f t="shared" si="8"/>
        <v>44785</v>
      </c>
      <c r="P13" s="131">
        <f t="shared" si="8"/>
        <v>44969</v>
      </c>
      <c r="Q13" s="131">
        <f t="shared" si="8"/>
        <v>45150</v>
      </c>
      <c r="R13" s="131">
        <f t="shared" si="8"/>
        <v>45334</v>
      </c>
      <c r="S13" s="131">
        <f t="shared" si="8"/>
        <v>45516</v>
      </c>
      <c r="T13" s="131">
        <f t="shared" si="8"/>
        <v>45700</v>
      </c>
      <c r="U13" s="131">
        <f t="shared" si="8"/>
        <v>45881</v>
      </c>
      <c r="V13" s="131">
        <f t="shared" si="8"/>
        <v>46065</v>
      </c>
      <c r="W13" s="131">
        <f t="shared" si="8"/>
        <v>46246</v>
      </c>
      <c r="X13" s="131"/>
      <c r="Y13" s="131"/>
      <c r="Z13" s="131"/>
      <c r="AA13" s="131"/>
      <c r="AB13" s="131"/>
      <c r="AC13" s="131"/>
      <c r="AD13" s="131"/>
      <c r="AE13" s="131"/>
      <c r="AF13" s="131"/>
      <c r="AG13" s="131"/>
      <c r="AH13" s="131"/>
      <c r="AI13" s="131"/>
      <c r="AJ13" s="131"/>
      <c r="AK13" s="131"/>
      <c r="AL13" s="131"/>
      <c r="AM13" s="131"/>
      <c r="AN13" s="131"/>
      <c r="AO13" s="131"/>
      <c r="AP13" s="131"/>
      <c r="AQ13" s="131"/>
      <c r="AR13" s="131"/>
      <c r="AS13" s="131"/>
      <c r="AT13" s="131"/>
      <c r="AU13" s="131"/>
      <c r="AV13" s="131"/>
      <c r="AW13" s="131"/>
      <c r="AX13" s="131"/>
      <c r="AY13" s="131"/>
      <c r="AZ13" s="131"/>
      <c r="BA13" s="131"/>
      <c r="BB13" s="131"/>
      <c r="BC13" s="131"/>
      <c r="BD13" s="131"/>
      <c r="BE13" s="131"/>
      <c r="BF13" s="131"/>
      <c r="BG13" s="131"/>
      <c r="BH13" s="131"/>
      <c r="BI13" s="131"/>
      <c r="BJ13" s="131"/>
    </row>
    <row r="14" spans="1:80" s="130" customFormat="1">
      <c r="C14" s="129" t="s">
        <v>120</v>
      </c>
      <c r="D14" s="129" t="str">
        <f ca="1">+OFFSET(bd_bonos!$A$1,MATCH(bond_calc!$A14,bd_bonos!$A$1:$A$28,0)-1,11)</f>
        <v>12/08/2028</v>
      </c>
      <c r="E14" s="202">
        <f t="array" ref="E14">+IF(MAX(($G14:$CB14&lt;$B$1)*$G14:$CB14)=0,"",MAX(($G14:$CB14&lt;$B$1)*$G14:$CB14))</f>
        <v>43689</v>
      </c>
      <c r="F14" s="202">
        <f t="array" ref="F14">+IF(MIN(IF($G14:$CB14&gt;$B$1,$G14:$CB14))=0,"",MIN(IF($G14:$CB14&gt;$B$1,$G14:$CB14)))</f>
        <v>43873</v>
      </c>
      <c r="G14" s="131">
        <v>43324</v>
      </c>
      <c r="H14" s="131">
        <f t="shared" si="6"/>
        <v>43508</v>
      </c>
      <c r="I14" s="131">
        <f t="shared" si="8"/>
        <v>43689</v>
      </c>
      <c r="J14" s="131">
        <f t="shared" si="8"/>
        <v>43873</v>
      </c>
      <c r="K14" s="131">
        <f t="shared" si="8"/>
        <v>44055</v>
      </c>
      <c r="L14" s="131">
        <f t="shared" si="8"/>
        <v>44239</v>
      </c>
      <c r="M14" s="131">
        <f t="shared" si="8"/>
        <v>44420</v>
      </c>
      <c r="N14" s="131">
        <f t="shared" si="8"/>
        <v>44604</v>
      </c>
      <c r="O14" s="131">
        <f t="shared" si="8"/>
        <v>44785</v>
      </c>
      <c r="P14" s="131">
        <f t="shared" si="8"/>
        <v>44969</v>
      </c>
      <c r="Q14" s="131">
        <f t="shared" si="8"/>
        <v>45150</v>
      </c>
      <c r="R14" s="131">
        <f t="shared" si="8"/>
        <v>45334</v>
      </c>
      <c r="S14" s="131">
        <f t="shared" si="8"/>
        <v>45516</v>
      </c>
      <c r="T14" s="131">
        <f t="shared" si="8"/>
        <v>45700</v>
      </c>
      <c r="U14" s="131">
        <f t="shared" si="8"/>
        <v>45881</v>
      </c>
      <c r="V14" s="131">
        <f t="shared" si="8"/>
        <v>46065</v>
      </c>
      <c r="W14" s="131">
        <f t="shared" si="8"/>
        <v>46246</v>
      </c>
      <c r="X14" s="131">
        <f t="shared" si="8"/>
        <v>46430</v>
      </c>
      <c r="Y14" s="131">
        <f t="shared" si="8"/>
        <v>46611</v>
      </c>
      <c r="Z14" s="131">
        <f t="shared" si="8"/>
        <v>46795</v>
      </c>
      <c r="AA14" s="131">
        <f t="shared" si="8"/>
        <v>46977</v>
      </c>
      <c r="AB14" s="131"/>
      <c r="AC14" s="131"/>
      <c r="AD14" s="131"/>
      <c r="AE14" s="131"/>
      <c r="AF14" s="131"/>
      <c r="AG14" s="131"/>
      <c r="AH14" s="131"/>
      <c r="AI14" s="131"/>
      <c r="AJ14" s="131"/>
      <c r="AK14" s="131"/>
      <c r="AL14" s="131"/>
      <c r="AM14" s="131"/>
      <c r="AN14" s="131"/>
      <c r="AO14" s="131"/>
      <c r="AP14" s="131"/>
      <c r="AQ14" s="131"/>
      <c r="AR14" s="131"/>
      <c r="AS14" s="131"/>
      <c r="AT14" s="131"/>
      <c r="AU14" s="131"/>
      <c r="AV14" s="131"/>
      <c r="AW14" s="131"/>
      <c r="AX14" s="131"/>
      <c r="AY14" s="131"/>
      <c r="AZ14" s="131"/>
      <c r="BA14" s="131"/>
      <c r="BB14" s="131"/>
      <c r="BC14" s="131"/>
      <c r="BD14" s="131"/>
      <c r="BE14" s="131"/>
      <c r="BF14" s="131"/>
      <c r="BG14" s="131"/>
      <c r="BH14" s="131"/>
      <c r="BI14" s="131"/>
      <c r="BJ14" s="131"/>
    </row>
    <row r="15" spans="1:80" s="130" customFormat="1">
      <c r="C15" s="129" t="s">
        <v>121</v>
      </c>
      <c r="D15" s="129" t="str">
        <f ca="1">+OFFSET(bd_bonos!$A$1,MATCH(bond_calc!$A15,bd_bonos!$A$1:$A$28,0)-1,11)</f>
        <v>12/02/2029</v>
      </c>
      <c r="E15" s="202">
        <f t="array" ref="E15">+IF(MAX(($G15:$CB15&lt;$B$1)*$G15:$CB15)=0,"",MAX(($G15:$CB15&lt;$B$1)*$G15:$CB15))</f>
        <v>43689</v>
      </c>
      <c r="F15" s="202">
        <f t="array" ref="F15">+IF(MIN(IF($G15:$CB15&gt;$B$1,$G15:$CB15))=0,"",MIN(IF($G15:$CB15&gt;$B$1,$G15:$CB15)))</f>
        <v>43873</v>
      </c>
      <c r="G15" s="131">
        <v>43324</v>
      </c>
      <c r="H15" s="131">
        <f t="shared" si="6"/>
        <v>43508</v>
      </c>
      <c r="I15" s="131">
        <f t="shared" si="8"/>
        <v>43689</v>
      </c>
      <c r="J15" s="131">
        <f t="shared" si="8"/>
        <v>43873</v>
      </c>
      <c r="K15" s="131">
        <f t="shared" si="8"/>
        <v>44055</v>
      </c>
      <c r="L15" s="131">
        <f t="shared" si="8"/>
        <v>44239</v>
      </c>
      <c r="M15" s="131">
        <f t="shared" si="8"/>
        <v>44420</v>
      </c>
      <c r="N15" s="131">
        <f t="shared" si="8"/>
        <v>44604</v>
      </c>
      <c r="O15" s="131">
        <f t="shared" si="8"/>
        <v>44785</v>
      </c>
      <c r="P15" s="131">
        <f t="shared" si="8"/>
        <v>44969</v>
      </c>
      <c r="Q15" s="131">
        <f t="shared" si="8"/>
        <v>45150</v>
      </c>
      <c r="R15" s="131">
        <f t="shared" si="8"/>
        <v>45334</v>
      </c>
      <c r="S15" s="131">
        <f t="shared" si="8"/>
        <v>45516</v>
      </c>
      <c r="T15" s="131">
        <f t="shared" si="8"/>
        <v>45700</v>
      </c>
      <c r="U15" s="131">
        <f t="shared" si="8"/>
        <v>45881</v>
      </c>
      <c r="V15" s="131">
        <f t="shared" si="8"/>
        <v>46065</v>
      </c>
      <c r="W15" s="131">
        <f t="shared" si="8"/>
        <v>46246</v>
      </c>
      <c r="X15" s="131">
        <f t="shared" si="8"/>
        <v>46430</v>
      </c>
      <c r="Y15" s="131">
        <f t="shared" si="8"/>
        <v>46611</v>
      </c>
      <c r="Z15" s="131">
        <f t="shared" si="8"/>
        <v>46795</v>
      </c>
      <c r="AA15" s="131">
        <f t="shared" si="8"/>
        <v>46977</v>
      </c>
      <c r="AB15" s="131">
        <f t="shared" si="8"/>
        <v>47161</v>
      </c>
      <c r="AC15" s="131"/>
      <c r="AD15" s="131"/>
      <c r="AE15" s="131"/>
      <c r="AF15" s="131"/>
      <c r="AG15" s="131"/>
      <c r="AH15" s="131"/>
      <c r="AI15" s="131"/>
      <c r="AJ15" s="131"/>
      <c r="AK15" s="131"/>
      <c r="AL15" s="131"/>
      <c r="AM15" s="131"/>
      <c r="AN15" s="131"/>
      <c r="AO15" s="131"/>
      <c r="AP15" s="131"/>
      <c r="AQ15" s="131"/>
      <c r="AR15" s="131"/>
      <c r="AS15" s="131"/>
      <c r="AT15" s="131"/>
      <c r="AU15" s="131"/>
      <c r="AV15" s="131"/>
      <c r="AW15" s="131"/>
      <c r="AX15" s="131"/>
      <c r="AY15" s="131"/>
      <c r="AZ15" s="131"/>
      <c r="BA15" s="131"/>
      <c r="BB15" s="131"/>
      <c r="BC15" s="131"/>
      <c r="BD15" s="131"/>
      <c r="BE15" s="131"/>
      <c r="BF15" s="131"/>
      <c r="BG15" s="131"/>
      <c r="BH15" s="131"/>
      <c r="BI15" s="131"/>
      <c r="BJ15" s="131"/>
    </row>
    <row r="16" spans="1:80" s="130" customFormat="1">
      <c r="C16" s="129" t="s">
        <v>127</v>
      </c>
      <c r="D16" s="129" t="str">
        <f ca="1">+OFFSET(bd_bonos!$A$1,MATCH(bond_calc!$A16,bd_bonos!$A$1:$A$28,0)-1,11)</f>
        <v>12/02/2029</v>
      </c>
      <c r="E16" s="202">
        <f t="array" ref="E16">+IF(MAX(($G16:$CB16&lt;$B$1)*$G16:$CB16)=0,"",MAX(($G16:$CB16&lt;$B$1)*$G16:$CB16))</f>
        <v>43689</v>
      </c>
      <c r="F16" s="202">
        <f t="array" ref="F16">+IF(MIN(IF($G16:$CB16&gt;$B$1,$G16:$CB16))=0,"",MIN(IF($G16:$CB16&gt;$B$1,$G16:$CB16)))</f>
        <v>43873</v>
      </c>
      <c r="G16" s="131">
        <v>43324</v>
      </c>
      <c r="H16" s="131">
        <f t="shared" si="6"/>
        <v>43508</v>
      </c>
      <c r="I16" s="131">
        <f t="shared" si="8"/>
        <v>43689</v>
      </c>
      <c r="J16" s="131">
        <f t="shared" si="8"/>
        <v>43873</v>
      </c>
      <c r="K16" s="131">
        <f t="shared" si="8"/>
        <v>44055</v>
      </c>
      <c r="L16" s="131">
        <f t="shared" si="8"/>
        <v>44239</v>
      </c>
      <c r="M16" s="131">
        <f t="shared" si="8"/>
        <v>44420</v>
      </c>
      <c r="N16" s="131">
        <f t="shared" si="8"/>
        <v>44604</v>
      </c>
      <c r="O16" s="131">
        <f t="shared" si="8"/>
        <v>44785</v>
      </c>
      <c r="P16" s="131">
        <f t="shared" si="8"/>
        <v>44969</v>
      </c>
      <c r="Q16" s="131">
        <f t="shared" si="8"/>
        <v>45150</v>
      </c>
      <c r="R16" s="131">
        <f t="shared" si="8"/>
        <v>45334</v>
      </c>
      <c r="S16" s="131">
        <f t="shared" si="8"/>
        <v>45516</v>
      </c>
      <c r="T16" s="131">
        <f t="shared" si="8"/>
        <v>45700</v>
      </c>
      <c r="U16" s="131">
        <f t="shared" si="8"/>
        <v>45881</v>
      </c>
      <c r="V16" s="131">
        <f t="shared" si="8"/>
        <v>46065</v>
      </c>
      <c r="W16" s="131">
        <f t="shared" si="8"/>
        <v>46246</v>
      </c>
      <c r="X16" s="131">
        <f t="shared" si="8"/>
        <v>46430</v>
      </c>
      <c r="Y16" s="131">
        <f t="shared" si="8"/>
        <v>46611</v>
      </c>
      <c r="Z16" s="131">
        <f t="shared" si="8"/>
        <v>46795</v>
      </c>
      <c r="AA16" s="131">
        <f t="shared" si="8"/>
        <v>46977</v>
      </c>
      <c r="AB16" s="131">
        <f t="shared" si="8"/>
        <v>47161</v>
      </c>
      <c r="AC16" s="131"/>
      <c r="AD16" s="131"/>
      <c r="AE16" s="131"/>
      <c r="AF16" s="131"/>
      <c r="AG16" s="131"/>
      <c r="AH16" s="131"/>
      <c r="AI16" s="131"/>
      <c r="AJ16" s="131"/>
      <c r="AK16" s="131"/>
      <c r="AL16" s="131"/>
      <c r="AM16" s="131"/>
      <c r="AN16" s="131"/>
      <c r="AO16" s="131"/>
      <c r="AP16" s="131"/>
      <c r="AQ16" s="131"/>
      <c r="AR16" s="131"/>
      <c r="AS16" s="131"/>
      <c r="AT16" s="131"/>
      <c r="AU16" s="131"/>
      <c r="AV16" s="131"/>
      <c r="AW16" s="131"/>
      <c r="AX16" s="131"/>
      <c r="AY16" s="131"/>
      <c r="AZ16" s="131"/>
      <c r="BA16" s="131"/>
      <c r="BB16" s="131"/>
      <c r="BC16" s="131"/>
      <c r="BD16" s="131"/>
      <c r="BE16" s="131"/>
      <c r="BF16" s="131"/>
      <c r="BG16" s="131"/>
      <c r="BH16" s="131"/>
      <c r="BI16" s="131"/>
      <c r="BJ16" s="131"/>
    </row>
    <row r="17" spans="1:80" s="130" customFormat="1">
      <c r="C17" s="129" t="s">
        <v>122</v>
      </c>
      <c r="D17" s="129" t="str">
        <f ca="1">+OFFSET(bd_bonos!$A$1,MATCH(bond_calc!$A17,bd_bonos!$A$1:$A$28,0)-1,11)</f>
        <v>12/08/2031</v>
      </c>
      <c r="E17" s="202">
        <f t="array" ref="E17">+IF(MAX(($G17:$CB17&lt;$B$1)*$G17:$CB17)=0,"",MAX(($G17:$CB17&lt;$B$1)*$G17:$CB17))</f>
        <v>43689</v>
      </c>
      <c r="F17" s="202">
        <f t="array" ref="F17">+IF(MIN(IF($G17:$CB17&gt;$B$1,$G17:$CB17))=0,"",MIN(IF($G17:$CB17&gt;$B$1,$G17:$CB17)))</f>
        <v>43873</v>
      </c>
      <c r="G17" s="131">
        <v>43324</v>
      </c>
      <c r="H17" s="131">
        <f t="shared" si="6"/>
        <v>43508</v>
      </c>
      <c r="I17" s="131">
        <f t="shared" si="8"/>
        <v>43689</v>
      </c>
      <c r="J17" s="131">
        <f t="shared" si="8"/>
        <v>43873</v>
      </c>
      <c r="K17" s="131">
        <f t="shared" si="8"/>
        <v>44055</v>
      </c>
      <c r="L17" s="131">
        <f t="shared" si="8"/>
        <v>44239</v>
      </c>
      <c r="M17" s="131">
        <f t="shared" si="8"/>
        <v>44420</v>
      </c>
      <c r="N17" s="131">
        <f t="shared" si="8"/>
        <v>44604</v>
      </c>
      <c r="O17" s="131">
        <f t="shared" si="8"/>
        <v>44785</v>
      </c>
      <c r="P17" s="131">
        <f t="shared" si="8"/>
        <v>44969</v>
      </c>
      <c r="Q17" s="131">
        <f t="shared" si="8"/>
        <v>45150</v>
      </c>
      <c r="R17" s="131">
        <f t="shared" si="8"/>
        <v>45334</v>
      </c>
      <c r="S17" s="131">
        <f t="shared" si="8"/>
        <v>45516</v>
      </c>
      <c r="T17" s="131">
        <f t="shared" si="8"/>
        <v>45700</v>
      </c>
      <c r="U17" s="131">
        <f t="shared" si="8"/>
        <v>45881</v>
      </c>
      <c r="V17" s="131">
        <f t="shared" si="8"/>
        <v>46065</v>
      </c>
      <c r="W17" s="131">
        <f t="shared" si="8"/>
        <v>46246</v>
      </c>
      <c r="X17" s="131">
        <f t="shared" si="8"/>
        <v>46430</v>
      </c>
      <c r="Y17" s="131">
        <f t="shared" si="8"/>
        <v>46611</v>
      </c>
      <c r="Z17" s="131">
        <f t="shared" si="8"/>
        <v>46795</v>
      </c>
      <c r="AA17" s="131">
        <f t="shared" si="8"/>
        <v>46977</v>
      </c>
      <c r="AB17" s="131">
        <f t="shared" si="8"/>
        <v>47161</v>
      </c>
      <c r="AC17" s="131">
        <f t="shared" si="8"/>
        <v>47342</v>
      </c>
      <c r="AD17" s="131">
        <f t="shared" si="8"/>
        <v>47526</v>
      </c>
      <c r="AE17" s="131">
        <f t="shared" si="8"/>
        <v>47707</v>
      </c>
      <c r="AF17" s="131">
        <f t="shared" si="8"/>
        <v>47891</v>
      </c>
      <c r="AG17" s="131">
        <f t="shared" si="8"/>
        <v>48072</v>
      </c>
      <c r="AH17" s="131"/>
      <c r="AI17" s="131"/>
      <c r="AJ17" s="131"/>
      <c r="AK17" s="131"/>
      <c r="AL17" s="131"/>
      <c r="AM17" s="131"/>
      <c r="AN17" s="131"/>
      <c r="AO17" s="131"/>
      <c r="AP17" s="131"/>
      <c r="AQ17" s="131"/>
      <c r="AR17" s="131"/>
      <c r="AS17" s="131"/>
      <c r="AT17" s="131"/>
      <c r="AU17" s="131"/>
      <c r="AV17" s="131"/>
      <c r="AW17" s="131"/>
      <c r="AX17" s="131"/>
      <c r="AY17" s="131"/>
      <c r="AZ17" s="131"/>
      <c r="BA17" s="131"/>
      <c r="BB17" s="131"/>
      <c r="BC17" s="131"/>
      <c r="BD17" s="131"/>
      <c r="BE17" s="131"/>
      <c r="BF17" s="131"/>
      <c r="BG17" s="131"/>
      <c r="BH17" s="131"/>
      <c r="BI17" s="131"/>
      <c r="BJ17" s="131"/>
    </row>
    <row r="18" spans="1:80" s="130" customFormat="1">
      <c r="C18" s="129" t="s">
        <v>123</v>
      </c>
      <c r="D18" s="129" t="str">
        <f ca="1">+OFFSET(bd_bonos!$A$1,MATCH(bond_calc!$A18,bd_bonos!$A$1:$A$28,0)-1,11)</f>
        <v>12/08/2032</v>
      </c>
      <c r="E18" s="202">
        <f t="array" ref="E18">+IF(MAX(($G18:$CB18&lt;$B$1)*$G18:$CB18)=0,"",MAX(($G18:$CB18&lt;$B$1)*$G18:$CB18))</f>
        <v>43689</v>
      </c>
      <c r="F18" s="202">
        <f t="array" ref="F18">+IF(MIN(IF($G18:$CB18&gt;$B$1,$G18:$CB18))=0,"",MIN(IF($G18:$CB18&gt;$B$1,$G18:$CB18)))</f>
        <v>43873</v>
      </c>
      <c r="G18" s="131">
        <v>43324</v>
      </c>
      <c r="H18" s="131">
        <f t="shared" si="6"/>
        <v>43508</v>
      </c>
      <c r="I18" s="131">
        <f t="shared" si="8"/>
        <v>43689</v>
      </c>
      <c r="J18" s="131">
        <f t="shared" si="8"/>
        <v>43873</v>
      </c>
      <c r="K18" s="131">
        <f t="shared" si="8"/>
        <v>44055</v>
      </c>
      <c r="L18" s="131">
        <f t="shared" si="8"/>
        <v>44239</v>
      </c>
      <c r="M18" s="131">
        <f t="shared" si="8"/>
        <v>44420</v>
      </c>
      <c r="N18" s="131">
        <f t="shared" si="8"/>
        <v>44604</v>
      </c>
      <c r="O18" s="131">
        <f t="shared" si="8"/>
        <v>44785</v>
      </c>
      <c r="P18" s="131">
        <f t="shared" si="8"/>
        <v>44969</v>
      </c>
      <c r="Q18" s="131">
        <f t="shared" si="8"/>
        <v>45150</v>
      </c>
      <c r="R18" s="131">
        <f t="shared" si="8"/>
        <v>45334</v>
      </c>
      <c r="S18" s="131">
        <f t="shared" si="8"/>
        <v>45516</v>
      </c>
      <c r="T18" s="131">
        <f t="shared" si="8"/>
        <v>45700</v>
      </c>
      <c r="U18" s="131">
        <f t="shared" si="8"/>
        <v>45881</v>
      </c>
      <c r="V18" s="131">
        <f t="shared" si="8"/>
        <v>46065</v>
      </c>
      <c r="W18" s="131">
        <f t="shared" si="8"/>
        <v>46246</v>
      </c>
      <c r="X18" s="131">
        <f t="shared" si="8"/>
        <v>46430</v>
      </c>
      <c r="Y18" s="131">
        <f t="shared" si="8"/>
        <v>46611</v>
      </c>
      <c r="Z18" s="131">
        <f t="shared" si="8"/>
        <v>46795</v>
      </c>
      <c r="AA18" s="131">
        <f t="shared" si="8"/>
        <v>46977</v>
      </c>
      <c r="AB18" s="131">
        <f t="shared" si="8"/>
        <v>47161</v>
      </c>
      <c r="AC18" s="131">
        <f t="shared" si="8"/>
        <v>47342</v>
      </c>
      <c r="AD18" s="131">
        <f t="shared" si="8"/>
        <v>47526</v>
      </c>
      <c r="AE18" s="131">
        <f t="shared" si="8"/>
        <v>47707</v>
      </c>
      <c r="AF18" s="131">
        <f t="shared" si="8"/>
        <v>47891</v>
      </c>
      <c r="AG18" s="131">
        <f t="shared" si="8"/>
        <v>48072</v>
      </c>
      <c r="AH18" s="131">
        <f t="shared" si="8"/>
        <v>48256</v>
      </c>
      <c r="AI18" s="131">
        <f t="shared" si="8"/>
        <v>48438</v>
      </c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  <c r="AZ18" s="131"/>
      <c r="BA18" s="131"/>
      <c r="BB18" s="131"/>
      <c r="BC18" s="131"/>
      <c r="BD18" s="131"/>
      <c r="BE18" s="131"/>
      <c r="BF18" s="131"/>
      <c r="BG18" s="131"/>
      <c r="BH18" s="131"/>
      <c r="BI18" s="131"/>
      <c r="BJ18" s="131"/>
    </row>
    <row r="19" spans="1:80" s="130" customFormat="1">
      <c r="C19" s="129" t="s">
        <v>124</v>
      </c>
      <c r="D19" s="129" t="str">
        <f ca="1">+OFFSET(bd_bonos!$A$1,MATCH(bond_calc!$A19,bd_bonos!$A$1:$A$28,0)-1,11)</f>
        <v>12/08/2037</v>
      </c>
      <c r="E19" s="202">
        <f t="array" ref="E19">+IF(MAX(($G19:$CB19&lt;$B$1)*$G19:$CB19)=0,"",MAX(($G19:$CB19&lt;$B$1)*$G19:$CB19))</f>
        <v>43689</v>
      </c>
      <c r="F19" s="202">
        <f t="array" ref="F19">+IF(MIN(IF($G19:$CB19&gt;$B$1,$G19:$CB19))=0,"",MIN(IF($G19:$CB19&gt;$B$1,$G19:$CB19)))</f>
        <v>43873</v>
      </c>
      <c r="G19" s="131">
        <v>43324</v>
      </c>
      <c r="H19" s="131">
        <f t="shared" si="6"/>
        <v>43508</v>
      </c>
      <c r="I19" s="131">
        <f t="shared" si="8"/>
        <v>43689</v>
      </c>
      <c r="J19" s="131">
        <f t="shared" si="8"/>
        <v>43873</v>
      </c>
      <c r="K19" s="131">
        <f t="shared" si="8"/>
        <v>44055</v>
      </c>
      <c r="L19" s="131">
        <f t="shared" si="8"/>
        <v>44239</v>
      </c>
      <c r="M19" s="131">
        <f t="shared" si="8"/>
        <v>44420</v>
      </c>
      <c r="N19" s="131">
        <f t="shared" si="8"/>
        <v>44604</v>
      </c>
      <c r="O19" s="131">
        <f t="shared" si="8"/>
        <v>44785</v>
      </c>
      <c r="P19" s="131">
        <f t="shared" si="8"/>
        <v>44969</v>
      </c>
      <c r="Q19" s="131">
        <f t="shared" si="8"/>
        <v>45150</v>
      </c>
      <c r="R19" s="131">
        <f t="shared" si="8"/>
        <v>45334</v>
      </c>
      <c r="S19" s="131">
        <f t="shared" si="8"/>
        <v>45516</v>
      </c>
      <c r="T19" s="131">
        <f t="shared" si="8"/>
        <v>45700</v>
      </c>
      <c r="U19" s="131">
        <f t="shared" si="8"/>
        <v>45881</v>
      </c>
      <c r="V19" s="131">
        <f t="shared" si="8"/>
        <v>46065</v>
      </c>
      <c r="W19" s="131">
        <f t="shared" si="8"/>
        <v>46246</v>
      </c>
      <c r="X19" s="131">
        <f t="shared" si="8"/>
        <v>46430</v>
      </c>
      <c r="Y19" s="131">
        <f t="shared" si="8"/>
        <v>46611</v>
      </c>
      <c r="Z19" s="131">
        <f t="shared" si="8"/>
        <v>46795</v>
      </c>
      <c r="AA19" s="131">
        <f t="shared" si="8"/>
        <v>46977</v>
      </c>
      <c r="AB19" s="131">
        <f t="shared" si="8"/>
        <v>47161</v>
      </c>
      <c r="AC19" s="131">
        <f t="shared" si="8"/>
        <v>47342</v>
      </c>
      <c r="AD19" s="131">
        <f t="shared" si="8"/>
        <v>47526</v>
      </c>
      <c r="AE19" s="131">
        <f t="shared" si="8"/>
        <v>47707</v>
      </c>
      <c r="AF19" s="131">
        <f t="shared" si="8"/>
        <v>47891</v>
      </c>
      <c r="AG19" s="131">
        <f t="shared" si="8"/>
        <v>48072</v>
      </c>
      <c r="AH19" s="131">
        <f t="shared" si="8"/>
        <v>48256</v>
      </c>
      <c r="AI19" s="131">
        <f t="shared" si="8"/>
        <v>48438</v>
      </c>
      <c r="AJ19" s="131">
        <f t="shared" si="8"/>
        <v>48622</v>
      </c>
      <c r="AK19" s="131">
        <f t="shared" si="8"/>
        <v>48803</v>
      </c>
      <c r="AL19" s="131">
        <f t="shared" si="8"/>
        <v>48987</v>
      </c>
      <c r="AM19" s="131">
        <f t="shared" si="8"/>
        <v>49168</v>
      </c>
      <c r="AN19" s="131">
        <f t="shared" si="8"/>
        <v>49352</v>
      </c>
      <c r="AO19" s="131">
        <f t="shared" ref="AO19:AS19" si="9">+EDATE(AN19,6)</f>
        <v>49533</v>
      </c>
      <c r="AP19" s="131">
        <f t="shared" si="9"/>
        <v>49717</v>
      </c>
      <c r="AQ19" s="131">
        <f t="shared" si="9"/>
        <v>49899</v>
      </c>
      <c r="AR19" s="131">
        <f t="shared" si="9"/>
        <v>50083</v>
      </c>
      <c r="AS19" s="131">
        <f t="shared" si="9"/>
        <v>50264</v>
      </c>
      <c r="AT19" s="131"/>
      <c r="AU19" s="131"/>
      <c r="AV19" s="131"/>
      <c r="AW19" s="131"/>
      <c r="AX19" s="131"/>
      <c r="AY19" s="131"/>
      <c r="AZ19" s="131"/>
      <c r="BA19" s="131"/>
      <c r="BB19" s="131"/>
      <c r="BC19" s="131"/>
      <c r="BD19" s="131"/>
      <c r="BE19" s="131"/>
      <c r="BF19" s="131"/>
      <c r="BG19" s="131"/>
      <c r="BH19" s="131"/>
      <c r="BI19" s="131"/>
      <c r="BJ19" s="131"/>
    </row>
    <row r="20" spans="1:80" s="130" customFormat="1">
      <c r="C20" s="129" t="s">
        <v>125</v>
      </c>
      <c r="D20" s="129" t="str">
        <f ca="1">+OFFSET(bd_bonos!$A$1,MATCH(bond_calc!$A20,bd_bonos!$A$1:$A$28,0)-1,11)</f>
        <v>12/02/2042</v>
      </c>
      <c r="E20" s="202">
        <f t="array" ref="E20">+IF(MAX(($G20:$CB20&lt;$B$1)*$G20:$CB20)=0,"",MAX(($G20:$CB20&lt;$B$1)*$G20:$CB20))</f>
        <v>43689</v>
      </c>
      <c r="F20" s="202">
        <f t="array" ref="F20">+IF(MIN(IF($G20:$CB20&gt;$B$1,$G20:$CB20))=0,"",MIN(IF($G20:$CB20&gt;$B$1,$G20:$CB20)))</f>
        <v>43873</v>
      </c>
      <c r="G20" s="131">
        <v>43324</v>
      </c>
      <c r="H20" s="131">
        <f t="shared" si="6"/>
        <v>43508</v>
      </c>
      <c r="I20" s="131">
        <f t="shared" ref="I20:BC26" si="10">+EDATE(H20,6)</f>
        <v>43689</v>
      </c>
      <c r="J20" s="131">
        <f t="shared" si="10"/>
        <v>43873</v>
      </c>
      <c r="K20" s="131">
        <f t="shared" si="10"/>
        <v>44055</v>
      </c>
      <c r="L20" s="131">
        <f t="shared" si="10"/>
        <v>44239</v>
      </c>
      <c r="M20" s="131">
        <f t="shared" si="10"/>
        <v>44420</v>
      </c>
      <c r="N20" s="131">
        <f t="shared" si="10"/>
        <v>44604</v>
      </c>
      <c r="O20" s="131">
        <f t="shared" si="10"/>
        <v>44785</v>
      </c>
      <c r="P20" s="131">
        <f t="shared" si="10"/>
        <v>44969</v>
      </c>
      <c r="Q20" s="131">
        <f t="shared" si="10"/>
        <v>45150</v>
      </c>
      <c r="R20" s="131">
        <f t="shared" si="10"/>
        <v>45334</v>
      </c>
      <c r="S20" s="131">
        <f t="shared" si="10"/>
        <v>45516</v>
      </c>
      <c r="T20" s="131">
        <f t="shared" si="10"/>
        <v>45700</v>
      </c>
      <c r="U20" s="131">
        <f t="shared" si="10"/>
        <v>45881</v>
      </c>
      <c r="V20" s="131">
        <f t="shared" si="10"/>
        <v>46065</v>
      </c>
      <c r="W20" s="131">
        <f t="shared" si="10"/>
        <v>46246</v>
      </c>
      <c r="X20" s="131">
        <f t="shared" si="10"/>
        <v>46430</v>
      </c>
      <c r="Y20" s="131">
        <f t="shared" si="10"/>
        <v>46611</v>
      </c>
      <c r="Z20" s="131">
        <f t="shared" si="10"/>
        <v>46795</v>
      </c>
      <c r="AA20" s="131">
        <f t="shared" si="10"/>
        <v>46977</v>
      </c>
      <c r="AB20" s="131">
        <f t="shared" si="10"/>
        <v>47161</v>
      </c>
      <c r="AC20" s="131">
        <f t="shared" si="10"/>
        <v>47342</v>
      </c>
      <c r="AD20" s="131">
        <f t="shared" si="10"/>
        <v>47526</v>
      </c>
      <c r="AE20" s="131">
        <f t="shared" si="10"/>
        <v>47707</v>
      </c>
      <c r="AF20" s="131">
        <f t="shared" si="10"/>
        <v>47891</v>
      </c>
      <c r="AG20" s="131">
        <f t="shared" si="10"/>
        <v>48072</v>
      </c>
      <c r="AH20" s="131">
        <f t="shared" si="10"/>
        <v>48256</v>
      </c>
      <c r="AI20" s="131">
        <f t="shared" si="10"/>
        <v>48438</v>
      </c>
      <c r="AJ20" s="131">
        <f t="shared" si="10"/>
        <v>48622</v>
      </c>
      <c r="AK20" s="131">
        <f t="shared" si="10"/>
        <v>48803</v>
      </c>
      <c r="AL20" s="131">
        <f t="shared" si="10"/>
        <v>48987</v>
      </c>
      <c r="AM20" s="131">
        <f t="shared" si="10"/>
        <v>49168</v>
      </c>
      <c r="AN20" s="131">
        <f t="shared" si="10"/>
        <v>49352</v>
      </c>
      <c r="AO20" s="131">
        <f t="shared" si="10"/>
        <v>49533</v>
      </c>
      <c r="AP20" s="131">
        <f t="shared" si="10"/>
        <v>49717</v>
      </c>
      <c r="AQ20" s="131">
        <f t="shared" si="10"/>
        <v>49899</v>
      </c>
      <c r="AR20" s="131">
        <f t="shared" si="10"/>
        <v>50083</v>
      </c>
      <c r="AS20" s="131">
        <f t="shared" si="10"/>
        <v>50264</v>
      </c>
      <c r="AT20" s="131">
        <f t="shared" si="10"/>
        <v>50448</v>
      </c>
      <c r="AU20" s="131">
        <f t="shared" si="10"/>
        <v>50629</v>
      </c>
      <c r="AV20" s="131">
        <f t="shared" si="10"/>
        <v>50813</v>
      </c>
      <c r="AW20" s="131">
        <f t="shared" si="10"/>
        <v>50994</v>
      </c>
      <c r="AX20" s="131">
        <f t="shared" si="10"/>
        <v>51178</v>
      </c>
      <c r="AY20" s="131">
        <f t="shared" si="10"/>
        <v>51360</v>
      </c>
      <c r="AZ20" s="131">
        <f t="shared" si="10"/>
        <v>51544</v>
      </c>
      <c r="BA20" s="131">
        <f t="shared" si="10"/>
        <v>51725</v>
      </c>
      <c r="BB20" s="131">
        <f t="shared" si="10"/>
        <v>51909</v>
      </c>
      <c r="BC20" s="131"/>
      <c r="BD20" s="131"/>
      <c r="BE20" s="131"/>
      <c r="BF20" s="131"/>
      <c r="BG20" s="131"/>
      <c r="BH20" s="131"/>
      <c r="BI20" s="131"/>
      <c r="BJ20" s="131"/>
    </row>
    <row r="21" spans="1:80" s="130" customFormat="1">
      <c r="C21" s="129" t="s">
        <v>126</v>
      </c>
      <c r="D21" s="129" t="str">
        <f ca="1">+OFFSET(bd_bonos!$A$1,MATCH(bond_calc!$A21,bd_bonos!$A$1:$A$28,0)-1,11)</f>
        <v>12/02/2055</v>
      </c>
      <c r="E21" s="202">
        <f t="array" ref="E21">+IF(MAX(($G21:$CB21&lt;$B$1)*$G21:$CB21)=0,"",MAX(($G21:$CB21&lt;$B$1)*$G21:$CB21))</f>
        <v>43689</v>
      </c>
      <c r="F21" s="202">
        <f t="array" ref="F21">+IF(MIN(IF($G21:$CB21&gt;$B$1,$G21:$CB21))=0,"",MIN(IF($G21:$CB21&gt;$B$1,$G21:$CB21)))</f>
        <v>43873</v>
      </c>
      <c r="G21" s="131">
        <v>43324</v>
      </c>
      <c r="H21" s="131">
        <f t="shared" si="6"/>
        <v>43508</v>
      </c>
      <c r="I21" s="131">
        <f t="shared" si="10"/>
        <v>43689</v>
      </c>
      <c r="J21" s="131">
        <f t="shared" si="10"/>
        <v>43873</v>
      </c>
      <c r="K21" s="131">
        <f t="shared" si="10"/>
        <v>44055</v>
      </c>
      <c r="L21" s="131">
        <f t="shared" si="10"/>
        <v>44239</v>
      </c>
      <c r="M21" s="131">
        <f t="shared" si="10"/>
        <v>44420</v>
      </c>
      <c r="N21" s="131">
        <f t="shared" si="10"/>
        <v>44604</v>
      </c>
      <c r="O21" s="131">
        <f t="shared" si="10"/>
        <v>44785</v>
      </c>
      <c r="P21" s="131">
        <f t="shared" si="10"/>
        <v>44969</v>
      </c>
      <c r="Q21" s="131">
        <f t="shared" si="10"/>
        <v>45150</v>
      </c>
      <c r="R21" s="131">
        <f t="shared" si="10"/>
        <v>45334</v>
      </c>
      <c r="S21" s="131">
        <f t="shared" si="10"/>
        <v>45516</v>
      </c>
      <c r="T21" s="131">
        <f t="shared" si="10"/>
        <v>45700</v>
      </c>
      <c r="U21" s="131">
        <f t="shared" si="10"/>
        <v>45881</v>
      </c>
      <c r="V21" s="131">
        <f t="shared" si="10"/>
        <v>46065</v>
      </c>
      <c r="W21" s="131">
        <f t="shared" si="10"/>
        <v>46246</v>
      </c>
      <c r="X21" s="131">
        <f t="shared" si="10"/>
        <v>46430</v>
      </c>
      <c r="Y21" s="131">
        <f t="shared" si="10"/>
        <v>46611</v>
      </c>
      <c r="Z21" s="131">
        <f t="shared" si="10"/>
        <v>46795</v>
      </c>
      <c r="AA21" s="131">
        <f t="shared" si="10"/>
        <v>46977</v>
      </c>
      <c r="AB21" s="131">
        <f t="shared" si="10"/>
        <v>47161</v>
      </c>
      <c r="AC21" s="131">
        <f t="shared" si="10"/>
        <v>47342</v>
      </c>
      <c r="AD21" s="131">
        <f t="shared" si="10"/>
        <v>47526</v>
      </c>
      <c r="AE21" s="131">
        <f t="shared" si="10"/>
        <v>47707</v>
      </c>
      <c r="AF21" s="131">
        <f t="shared" si="10"/>
        <v>47891</v>
      </c>
      <c r="AG21" s="131">
        <f t="shared" si="10"/>
        <v>48072</v>
      </c>
      <c r="AH21" s="131">
        <f t="shared" si="10"/>
        <v>48256</v>
      </c>
      <c r="AI21" s="131">
        <f t="shared" si="10"/>
        <v>48438</v>
      </c>
      <c r="AJ21" s="131">
        <f t="shared" si="10"/>
        <v>48622</v>
      </c>
      <c r="AK21" s="131">
        <f t="shared" si="10"/>
        <v>48803</v>
      </c>
      <c r="AL21" s="131">
        <f t="shared" si="10"/>
        <v>48987</v>
      </c>
      <c r="AM21" s="131">
        <f t="shared" si="10"/>
        <v>49168</v>
      </c>
      <c r="AN21" s="131">
        <f t="shared" si="10"/>
        <v>49352</v>
      </c>
      <c r="AO21" s="131">
        <f t="shared" si="10"/>
        <v>49533</v>
      </c>
      <c r="AP21" s="131">
        <f t="shared" si="10"/>
        <v>49717</v>
      </c>
      <c r="AQ21" s="131">
        <f t="shared" si="10"/>
        <v>49899</v>
      </c>
      <c r="AR21" s="131">
        <f t="shared" si="10"/>
        <v>50083</v>
      </c>
      <c r="AS21" s="131">
        <f t="shared" si="10"/>
        <v>50264</v>
      </c>
      <c r="AT21" s="131">
        <f t="shared" si="10"/>
        <v>50448</v>
      </c>
      <c r="AU21" s="131">
        <f t="shared" si="10"/>
        <v>50629</v>
      </c>
      <c r="AV21" s="131">
        <f t="shared" si="10"/>
        <v>50813</v>
      </c>
      <c r="AW21" s="131">
        <f t="shared" si="10"/>
        <v>50994</v>
      </c>
      <c r="AX21" s="131">
        <f t="shared" si="10"/>
        <v>51178</v>
      </c>
      <c r="AY21" s="131">
        <f t="shared" si="10"/>
        <v>51360</v>
      </c>
      <c r="AZ21" s="131">
        <f t="shared" si="10"/>
        <v>51544</v>
      </c>
      <c r="BA21" s="131">
        <f t="shared" si="10"/>
        <v>51725</v>
      </c>
      <c r="BB21" s="131">
        <f t="shared" si="10"/>
        <v>51909</v>
      </c>
      <c r="BC21" s="131">
        <f t="shared" si="10"/>
        <v>52090</v>
      </c>
      <c r="BD21" s="131">
        <f t="shared" ref="BD21:CB21" si="11">+EDATE(BC21,6)</f>
        <v>52274</v>
      </c>
      <c r="BE21" s="131">
        <f t="shared" si="11"/>
        <v>52455</v>
      </c>
      <c r="BF21" s="131">
        <f t="shared" si="11"/>
        <v>52639</v>
      </c>
      <c r="BG21" s="131">
        <f t="shared" si="11"/>
        <v>52821</v>
      </c>
      <c r="BH21" s="131">
        <f t="shared" si="11"/>
        <v>53005</v>
      </c>
      <c r="BI21" s="131">
        <f t="shared" si="11"/>
        <v>53186</v>
      </c>
      <c r="BJ21" s="131">
        <f t="shared" si="11"/>
        <v>53370</v>
      </c>
      <c r="BK21" s="131">
        <f t="shared" si="11"/>
        <v>53551</v>
      </c>
      <c r="BL21" s="131">
        <f t="shared" si="11"/>
        <v>53735</v>
      </c>
      <c r="BM21" s="131">
        <f t="shared" si="11"/>
        <v>53916</v>
      </c>
      <c r="BN21" s="131">
        <f t="shared" si="11"/>
        <v>54100</v>
      </c>
      <c r="BO21" s="131">
        <f t="shared" si="11"/>
        <v>54282</v>
      </c>
      <c r="BP21" s="131">
        <f t="shared" si="11"/>
        <v>54466</v>
      </c>
      <c r="BQ21" s="131">
        <f t="shared" si="11"/>
        <v>54647</v>
      </c>
      <c r="BR21" s="131">
        <f t="shared" si="11"/>
        <v>54831</v>
      </c>
      <c r="BS21" s="131">
        <f t="shared" si="11"/>
        <v>55012</v>
      </c>
      <c r="BT21" s="131">
        <f t="shared" si="11"/>
        <v>55196</v>
      </c>
      <c r="BU21" s="131">
        <f t="shared" si="11"/>
        <v>55377</v>
      </c>
      <c r="BV21" s="131">
        <f t="shared" si="11"/>
        <v>55561</v>
      </c>
      <c r="BW21" s="131">
        <f t="shared" si="11"/>
        <v>55743</v>
      </c>
      <c r="BX21" s="131">
        <f t="shared" si="11"/>
        <v>55927</v>
      </c>
      <c r="BY21" s="131">
        <f t="shared" si="11"/>
        <v>56108</v>
      </c>
      <c r="BZ21" s="131">
        <f t="shared" si="11"/>
        <v>56292</v>
      </c>
      <c r="CA21" s="131">
        <f t="shared" si="11"/>
        <v>56473</v>
      </c>
      <c r="CB21" s="131">
        <f t="shared" si="11"/>
        <v>56657</v>
      </c>
    </row>
    <row r="22" spans="1:80" s="130" customFormat="1">
      <c r="C22" s="129" t="s">
        <v>384</v>
      </c>
      <c r="D22" s="129" t="str">
        <f ca="1">+OFFSET(bd_bonos!$A$1,MATCH(bond_calc!$A22,bd_bonos!$A$1:$A$28,0)-1,11)</f>
        <v>13/10/2024</v>
      </c>
      <c r="E22" s="202">
        <f t="array" ref="E22">+IF(MAX(($G22:$CB22&lt;$B$1)*$G22:$CB22)=0,"",MAX(($G22:$CB22&lt;$B$1)*$G22:$CB22))</f>
        <v>43751</v>
      </c>
      <c r="F22" s="202">
        <f t="array" ref="F22">+IF(MIN(IF($G22:$CB22&gt;$B$1,$G22:$CB22))=0,"",MIN(IF($G22:$CB22&gt;$B$1,$G22:$CB22)))</f>
        <v>43934</v>
      </c>
      <c r="G22" s="131">
        <v>43386</v>
      </c>
      <c r="H22" s="131">
        <f t="shared" si="6"/>
        <v>43568</v>
      </c>
      <c r="I22" s="131">
        <f t="shared" si="10"/>
        <v>43751</v>
      </c>
      <c r="J22" s="131">
        <f t="shared" si="10"/>
        <v>43934</v>
      </c>
      <c r="K22" s="131">
        <f t="shared" si="10"/>
        <v>44117</v>
      </c>
      <c r="L22" s="131">
        <f t="shared" si="10"/>
        <v>44299</v>
      </c>
      <c r="M22" s="131">
        <f t="shared" si="10"/>
        <v>44482</v>
      </c>
      <c r="N22" s="131">
        <f t="shared" si="10"/>
        <v>44664</v>
      </c>
      <c r="O22" s="131">
        <f t="shared" si="10"/>
        <v>44847</v>
      </c>
      <c r="P22" s="131">
        <f t="shared" si="10"/>
        <v>45029</v>
      </c>
      <c r="Q22" s="131">
        <f t="shared" si="10"/>
        <v>45212</v>
      </c>
      <c r="R22" s="131"/>
      <c r="S22" s="131"/>
      <c r="T22" s="131"/>
      <c r="U22" s="131"/>
      <c r="V22" s="131"/>
      <c r="W22" s="131"/>
      <c r="X22" s="131"/>
      <c r="Y22" s="131"/>
      <c r="Z22" s="131"/>
      <c r="AA22" s="131"/>
      <c r="AB22" s="131"/>
      <c r="AC22" s="131"/>
      <c r="AD22" s="131"/>
      <c r="AE22" s="131"/>
      <c r="AF22" s="131"/>
      <c r="AG22" s="131"/>
      <c r="AH22" s="131"/>
      <c r="AI22" s="131"/>
      <c r="AJ22" s="131"/>
      <c r="AK22" s="131"/>
      <c r="AL22" s="131"/>
      <c r="AM22" s="131"/>
      <c r="AN22" s="131"/>
      <c r="AO22" s="131"/>
      <c r="AP22" s="131"/>
      <c r="AQ22" s="131"/>
      <c r="AR22" s="131"/>
      <c r="AS22" s="131"/>
      <c r="AT22" s="131"/>
      <c r="AU22" s="131"/>
      <c r="AV22" s="131"/>
      <c r="AW22" s="131"/>
      <c r="AX22" s="131"/>
      <c r="AY22" s="131"/>
      <c r="AZ22" s="131"/>
      <c r="BA22" s="131"/>
      <c r="BB22" s="131"/>
      <c r="BC22" s="131"/>
      <c r="BD22" s="131"/>
      <c r="BE22" s="131"/>
      <c r="BF22" s="131"/>
      <c r="BG22" s="131"/>
      <c r="BH22" s="131"/>
      <c r="BI22" s="131"/>
      <c r="BJ22" s="131"/>
    </row>
    <row r="23" spans="1:80" s="130" customFormat="1">
      <c r="C23" s="129" t="s">
        <v>379</v>
      </c>
      <c r="D23" s="129" t="str">
        <f ca="1">+OFFSET(bd_bonos!$A$1,MATCH(bond_calc!$A23,bd_bonos!$A$1:$A$28,0)-1,11)</f>
        <v>12/02/2030</v>
      </c>
      <c r="E23" s="202">
        <f t="array" ref="E23">+IF(MAX(($G23:$CB23&lt;$B$1)*$G23:$CB23)=0,"",MAX(($G23:$CB23&lt;$B$1)*$G23:$CB23))</f>
        <v>43689</v>
      </c>
      <c r="F23" s="202">
        <f t="array" ref="F23">+IF(MIN(IF($G23:$CB23&gt;$B$1,$G23:$CB23))=0,"",MIN(IF($G23:$CB23&gt;$B$1,$G23:$CB23)))</f>
        <v>43873</v>
      </c>
      <c r="G23" s="131">
        <v>43324</v>
      </c>
      <c r="H23" s="131">
        <f t="shared" si="6"/>
        <v>43508</v>
      </c>
      <c r="I23" s="131">
        <f t="shared" si="10"/>
        <v>43689</v>
      </c>
      <c r="J23" s="131">
        <f t="shared" si="10"/>
        <v>43873</v>
      </c>
      <c r="K23" s="131">
        <f t="shared" si="10"/>
        <v>44055</v>
      </c>
      <c r="L23" s="131">
        <f t="shared" si="10"/>
        <v>44239</v>
      </c>
      <c r="M23" s="131">
        <f t="shared" si="10"/>
        <v>44420</v>
      </c>
      <c r="N23" s="131">
        <f t="shared" si="10"/>
        <v>44604</v>
      </c>
      <c r="O23" s="131">
        <f t="shared" si="10"/>
        <v>44785</v>
      </c>
      <c r="P23" s="131">
        <f t="shared" si="10"/>
        <v>44969</v>
      </c>
      <c r="Q23" s="131">
        <f t="shared" si="10"/>
        <v>45150</v>
      </c>
      <c r="R23" s="131">
        <f t="shared" si="10"/>
        <v>45334</v>
      </c>
      <c r="S23" s="131">
        <f t="shared" si="10"/>
        <v>45516</v>
      </c>
      <c r="T23" s="131">
        <f t="shared" si="10"/>
        <v>45700</v>
      </c>
      <c r="U23" s="131">
        <f t="shared" si="10"/>
        <v>45881</v>
      </c>
      <c r="V23" s="131">
        <f t="shared" si="10"/>
        <v>46065</v>
      </c>
      <c r="W23" s="131">
        <f t="shared" si="10"/>
        <v>46246</v>
      </c>
      <c r="X23" s="131">
        <f t="shared" si="10"/>
        <v>46430</v>
      </c>
      <c r="Y23" s="131">
        <f t="shared" si="10"/>
        <v>46611</v>
      </c>
      <c r="Z23" s="131">
        <f t="shared" si="10"/>
        <v>46795</v>
      </c>
      <c r="AA23" s="131">
        <f t="shared" si="10"/>
        <v>46977</v>
      </c>
      <c r="AB23" s="131">
        <f t="shared" si="10"/>
        <v>47161</v>
      </c>
      <c r="AC23" s="131">
        <f t="shared" si="10"/>
        <v>47342</v>
      </c>
      <c r="AD23" s="131">
        <f t="shared" si="10"/>
        <v>47526</v>
      </c>
      <c r="AE23" s="131"/>
      <c r="AF23" s="131"/>
      <c r="AG23" s="131"/>
      <c r="AH23" s="131"/>
      <c r="AI23" s="131"/>
      <c r="AJ23" s="131"/>
      <c r="AK23" s="131"/>
      <c r="AL23" s="131"/>
      <c r="AM23" s="131"/>
      <c r="AN23" s="131"/>
      <c r="AO23" s="131"/>
      <c r="AP23" s="131"/>
      <c r="AQ23" s="131"/>
      <c r="AR23" s="131"/>
      <c r="AS23" s="131"/>
      <c r="AT23" s="131"/>
      <c r="AU23" s="131"/>
      <c r="AV23" s="131"/>
      <c r="AW23" s="131"/>
      <c r="AX23" s="131"/>
      <c r="AY23" s="131"/>
      <c r="AZ23" s="131"/>
      <c r="BA23" s="131"/>
      <c r="BB23" s="131"/>
      <c r="BC23" s="131"/>
      <c r="BD23" s="131"/>
      <c r="BE23" s="131"/>
      <c r="BF23" s="131"/>
      <c r="BG23" s="131"/>
      <c r="BH23" s="131"/>
      <c r="BI23" s="131"/>
      <c r="BJ23" s="131"/>
    </row>
    <row r="24" spans="1:80" s="130" customFormat="1">
      <c r="C24" s="129" t="s">
        <v>380</v>
      </c>
      <c r="D24" s="129" t="str">
        <f ca="1">+OFFSET(bd_bonos!$A$1,MATCH(bond_calc!$A24,bd_bonos!$A$1:$A$28,0)-1,11)</f>
        <v>31/01/2035</v>
      </c>
      <c r="E24" s="202">
        <f t="array" ref="E24">+IF(MAX(($G24:$CB24&lt;$B$1)*$G24:$CB24)=0,"",MAX(($G24:$CB24&lt;$B$1)*$G24:$CB24))</f>
        <v>43677</v>
      </c>
      <c r="F24" s="202">
        <f t="array" ref="F24">+IF(MIN(IF($G24:$CB24&gt;$B$1,$G24:$CB24))=0,"",MIN(IF($G24:$CB24&gt;$B$1,$G24:$CB24)))</f>
        <v>43861</v>
      </c>
      <c r="G24" s="131">
        <v>43312</v>
      </c>
      <c r="H24" s="131">
        <f t="shared" si="6"/>
        <v>43496</v>
      </c>
      <c r="I24" s="131">
        <f t="shared" si="10"/>
        <v>43677</v>
      </c>
      <c r="J24" s="131">
        <f t="shared" si="10"/>
        <v>43861</v>
      </c>
      <c r="K24" s="131">
        <f t="shared" si="10"/>
        <v>44043</v>
      </c>
      <c r="L24" s="131">
        <f t="shared" si="10"/>
        <v>44227</v>
      </c>
      <c r="M24" s="131">
        <f t="shared" si="10"/>
        <v>44408</v>
      </c>
      <c r="N24" s="131">
        <f t="shared" si="10"/>
        <v>44592</v>
      </c>
      <c r="O24" s="131">
        <f t="shared" si="10"/>
        <v>44773</v>
      </c>
      <c r="P24" s="131">
        <f t="shared" si="10"/>
        <v>44957</v>
      </c>
      <c r="Q24" s="131">
        <f t="shared" si="10"/>
        <v>45138</v>
      </c>
      <c r="R24" s="131">
        <f t="shared" si="10"/>
        <v>45322</v>
      </c>
      <c r="S24" s="131">
        <f t="shared" si="10"/>
        <v>45504</v>
      </c>
      <c r="T24" s="131">
        <f t="shared" si="10"/>
        <v>45688</v>
      </c>
      <c r="U24" s="131">
        <f t="shared" si="10"/>
        <v>45869</v>
      </c>
      <c r="V24" s="131">
        <f t="shared" si="10"/>
        <v>46053</v>
      </c>
      <c r="W24" s="131">
        <f t="shared" si="10"/>
        <v>46234</v>
      </c>
      <c r="X24" s="131">
        <f t="shared" si="10"/>
        <v>46418</v>
      </c>
      <c r="Y24" s="131">
        <f t="shared" si="10"/>
        <v>46599</v>
      </c>
      <c r="Z24" s="131">
        <f t="shared" si="10"/>
        <v>46783</v>
      </c>
      <c r="AA24" s="131">
        <f t="shared" si="10"/>
        <v>46965</v>
      </c>
      <c r="AB24" s="131">
        <f t="shared" si="10"/>
        <v>47149</v>
      </c>
      <c r="AC24" s="131">
        <f t="shared" si="10"/>
        <v>47330</v>
      </c>
      <c r="AD24" s="131">
        <f t="shared" si="10"/>
        <v>47514</v>
      </c>
      <c r="AE24" s="131">
        <f t="shared" si="10"/>
        <v>47695</v>
      </c>
      <c r="AF24" s="131">
        <f t="shared" si="10"/>
        <v>47879</v>
      </c>
      <c r="AG24" s="131">
        <f t="shared" si="10"/>
        <v>48060</v>
      </c>
      <c r="AH24" s="131">
        <f t="shared" si="10"/>
        <v>48244</v>
      </c>
      <c r="AI24" s="131">
        <f t="shared" si="10"/>
        <v>48426</v>
      </c>
      <c r="AJ24" s="131">
        <f t="shared" si="10"/>
        <v>48610</v>
      </c>
      <c r="AK24" s="131">
        <f t="shared" si="10"/>
        <v>48791</v>
      </c>
      <c r="AL24" s="131">
        <f t="shared" si="10"/>
        <v>48975</v>
      </c>
      <c r="AM24" s="131">
        <f t="shared" si="10"/>
        <v>49156</v>
      </c>
      <c r="AN24" s="131">
        <f t="shared" si="10"/>
        <v>49340</v>
      </c>
      <c r="AO24" s="131"/>
      <c r="AP24" s="131"/>
      <c r="AQ24" s="131"/>
      <c r="AR24" s="131"/>
      <c r="AS24" s="131"/>
      <c r="AT24" s="131"/>
      <c r="AU24" s="131"/>
      <c r="AV24" s="131"/>
      <c r="AW24" s="131"/>
      <c r="AX24" s="131"/>
      <c r="AY24" s="131"/>
      <c r="AZ24" s="131"/>
      <c r="BA24" s="131"/>
      <c r="BB24" s="131"/>
      <c r="BC24" s="131"/>
      <c r="BD24" s="131"/>
      <c r="BE24" s="131"/>
      <c r="BF24" s="131"/>
      <c r="BG24" s="131"/>
      <c r="BH24" s="131"/>
      <c r="BI24" s="131"/>
      <c r="BJ24" s="131"/>
    </row>
    <row r="25" spans="1:80" s="130" customFormat="1">
      <c r="C25" s="129" t="s">
        <v>381</v>
      </c>
      <c r="D25" s="129" t="str">
        <f ca="1">+OFFSET(bd_bonos!$A$1,MATCH(bond_calc!$A25,bd_bonos!$A$1:$A$28,0)-1,11)</f>
        <v>12/02/2040</v>
      </c>
      <c r="E25" s="202">
        <f t="array" ref="E25">+IF(MAX(($G25:$CB25&lt;$B$1)*$G25:$CB25)=0,"",MAX(($G25:$CB25&lt;$B$1)*$G25:$CB25))</f>
        <v>43689</v>
      </c>
      <c r="F25" s="202">
        <f t="array" ref="F25">+IF(MIN(IF($G25:$CB25&gt;$B$1,$G25:$CB25))=0,"",MIN(IF($G25:$CB25&gt;$B$1,$G25:$CB25)))</f>
        <v>43873</v>
      </c>
      <c r="G25" s="131">
        <v>43324</v>
      </c>
      <c r="H25" s="131">
        <f t="shared" si="6"/>
        <v>43508</v>
      </c>
      <c r="I25" s="131">
        <f t="shared" si="10"/>
        <v>43689</v>
      </c>
      <c r="J25" s="131">
        <f t="shared" si="10"/>
        <v>43873</v>
      </c>
      <c r="K25" s="131">
        <f t="shared" si="10"/>
        <v>44055</v>
      </c>
      <c r="L25" s="131">
        <f t="shared" si="10"/>
        <v>44239</v>
      </c>
      <c r="M25" s="131">
        <f t="shared" si="10"/>
        <v>44420</v>
      </c>
      <c r="N25" s="131">
        <f t="shared" si="10"/>
        <v>44604</v>
      </c>
      <c r="O25" s="131">
        <f t="shared" si="10"/>
        <v>44785</v>
      </c>
      <c r="P25" s="131">
        <f t="shared" si="10"/>
        <v>44969</v>
      </c>
      <c r="Q25" s="131">
        <f t="shared" si="10"/>
        <v>45150</v>
      </c>
      <c r="R25" s="131">
        <f t="shared" si="10"/>
        <v>45334</v>
      </c>
      <c r="S25" s="131">
        <f t="shared" si="10"/>
        <v>45516</v>
      </c>
      <c r="T25" s="131">
        <f t="shared" si="10"/>
        <v>45700</v>
      </c>
      <c r="U25" s="131">
        <f t="shared" si="10"/>
        <v>45881</v>
      </c>
      <c r="V25" s="131">
        <f t="shared" si="10"/>
        <v>46065</v>
      </c>
      <c r="W25" s="131">
        <f t="shared" si="10"/>
        <v>46246</v>
      </c>
      <c r="X25" s="131">
        <f t="shared" si="10"/>
        <v>46430</v>
      </c>
      <c r="Y25" s="131">
        <f t="shared" si="10"/>
        <v>46611</v>
      </c>
      <c r="Z25" s="131">
        <f t="shared" si="10"/>
        <v>46795</v>
      </c>
      <c r="AA25" s="131">
        <f t="shared" si="10"/>
        <v>46977</v>
      </c>
      <c r="AB25" s="131">
        <f t="shared" si="10"/>
        <v>47161</v>
      </c>
      <c r="AC25" s="131">
        <f t="shared" si="10"/>
        <v>47342</v>
      </c>
      <c r="AD25" s="131">
        <f t="shared" si="10"/>
        <v>47526</v>
      </c>
      <c r="AE25" s="131">
        <f t="shared" si="10"/>
        <v>47707</v>
      </c>
      <c r="AF25" s="131">
        <f t="shared" si="10"/>
        <v>47891</v>
      </c>
      <c r="AG25" s="131">
        <f t="shared" si="10"/>
        <v>48072</v>
      </c>
      <c r="AH25" s="131">
        <f t="shared" si="10"/>
        <v>48256</v>
      </c>
      <c r="AI25" s="131">
        <f t="shared" si="10"/>
        <v>48438</v>
      </c>
      <c r="AJ25" s="131">
        <f t="shared" si="10"/>
        <v>48622</v>
      </c>
      <c r="AK25" s="131">
        <f t="shared" si="10"/>
        <v>48803</v>
      </c>
      <c r="AL25" s="131">
        <f t="shared" si="10"/>
        <v>48987</v>
      </c>
      <c r="AM25" s="131">
        <f t="shared" si="10"/>
        <v>49168</v>
      </c>
      <c r="AN25" s="131">
        <f t="shared" si="10"/>
        <v>49352</v>
      </c>
      <c r="AO25" s="131">
        <f t="shared" si="10"/>
        <v>49533</v>
      </c>
      <c r="AP25" s="131">
        <f t="shared" si="10"/>
        <v>49717</v>
      </c>
      <c r="AQ25" s="131">
        <f t="shared" si="10"/>
        <v>49899</v>
      </c>
      <c r="AR25" s="131">
        <f t="shared" si="10"/>
        <v>50083</v>
      </c>
      <c r="AS25" s="131">
        <f t="shared" si="10"/>
        <v>50264</v>
      </c>
      <c r="AT25" s="131">
        <f t="shared" si="10"/>
        <v>50448</v>
      </c>
      <c r="AU25" s="131">
        <f t="shared" si="10"/>
        <v>50629</v>
      </c>
      <c r="AV25" s="131">
        <f t="shared" si="10"/>
        <v>50813</v>
      </c>
      <c r="AW25" s="131">
        <f t="shared" si="10"/>
        <v>50994</v>
      </c>
      <c r="AX25" s="131">
        <f t="shared" si="10"/>
        <v>51178</v>
      </c>
      <c r="AY25" s="131"/>
      <c r="AZ25" s="131"/>
      <c r="BA25" s="131"/>
      <c r="BB25" s="131"/>
      <c r="BC25" s="131"/>
      <c r="BD25" s="131"/>
      <c r="BE25" s="131"/>
      <c r="BF25" s="131"/>
      <c r="BG25" s="131"/>
      <c r="BH25" s="131"/>
      <c r="BI25" s="131"/>
      <c r="BJ25" s="131"/>
      <c r="BK25" s="131"/>
      <c r="BL25" s="131"/>
      <c r="BM25" s="131"/>
      <c r="BN25" s="131"/>
      <c r="BO25" s="131"/>
    </row>
    <row r="26" spans="1:80" s="130" customFormat="1">
      <c r="C26" s="129" t="s">
        <v>382</v>
      </c>
      <c r="D26" s="129" t="str">
        <f ca="1">+OFFSET(bd_bonos!$A$1,MATCH(bond_calc!$A26,bd_bonos!$A$1:$A$28,0)-1,11)</f>
        <v>12/08/2046</v>
      </c>
      <c r="E26" s="202">
        <f t="array" ref="E26">+IF(MAX(($G26:$CB26&lt;$B$1)*$G26:$CB26)=0,"",MAX(($G26:$CB26&lt;$B$1)*$G26:$CB26))</f>
        <v>43689</v>
      </c>
      <c r="F26" s="202">
        <f t="array" ref="F26">+IF(MIN(IF($G26:$CB26&gt;$B$1,$G26:$CB26))=0,"",MIN(IF($G26:$CB26&gt;$B$1,$G26:$CB26)))</f>
        <v>43873</v>
      </c>
      <c r="G26" s="131">
        <v>43324</v>
      </c>
      <c r="H26" s="131">
        <f t="shared" si="6"/>
        <v>43508</v>
      </c>
      <c r="I26" s="131">
        <f t="shared" si="10"/>
        <v>43689</v>
      </c>
      <c r="J26" s="131">
        <f t="shared" si="10"/>
        <v>43873</v>
      </c>
      <c r="K26" s="131">
        <f t="shared" si="10"/>
        <v>44055</v>
      </c>
      <c r="L26" s="131">
        <f t="shared" si="10"/>
        <v>44239</v>
      </c>
      <c r="M26" s="131">
        <f t="shared" si="10"/>
        <v>44420</v>
      </c>
      <c r="N26" s="131">
        <f t="shared" si="10"/>
        <v>44604</v>
      </c>
      <c r="O26" s="131">
        <f t="shared" si="10"/>
        <v>44785</v>
      </c>
      <c r="P26" s="131">
        <f t="shared" si="10"/>
        <v>44969</v>
      </c>
      <c r="Q26" s="131">
        <f t="shared" si="10"/>
        <v>45150</v>
      </c>
      <c r="R26" s="131">
        <f t="shared" si="10"/>
        <v>45334</v>
      </c>
      <c r="S26" s="131">
        <f t="shared" si="10"/>
        <v>45516</v>
      </c>
      <c r="T26" s="131">
        <f t="shared" si="10"/>
        <v>45700</v>
      </c>
      <c r="U26" s="131">
        <f t="shared" si="10"/>
        <v>45881</v>
      </c>
      <c r="V26" s="131">
        <f t="shared" si="10"/>
        <v>46065</v>
      </c>
      <c r="W26" s="131">
        <f t="shared" si="10"/>
        <v>46246</v>
      </c>
      <c r="X26" s="131">
        <f t="shared" si="10"/>
        <v>46430</v>
      </c>
      <c r="Y26" s="131">
        <f t="shared" si="10"/>
        <v>46611</v>
      </c>
      <c r="Z26" s="131">
        <f t="shared" si="10"/>
        <v>46795</v>
      </c>
      <c r="AA26" s="131">
        <f t="shared" si="10"/>
        <v>46977</v>
      </c>
      <c r="AB26" s="131">
        <f t="shared" si="10"/>
        <v>47161</v>
      </c>
      <c r="AC26" s="131">
        <f t="shared" si="10"/>
        <v>47342</v>
      </c>
      <c r="AD26" s="131">
        <f t="shared" si="10"/>
        <v>47526</v>
      </c>
      <c r="AE26" s="131">
        <f t="shared" si="10"/>
        <v>47707</v>
      </c>
      <c r="AF26" s="131">
        <f t="shared" si="10"/>
        <v>47891</v>
      </c>
      <c r="AG26" s="131">
        <f t="shared" si="10"/>
        <v>48072</v>
      </c>
      <c r="AH26" s="131">
        <f t="shared" si="10"/>
        <v>48256</v>
      </c>
      <c r="AI26" s="131">
        <f t="shared" si="10"/>
        <v>48438</v>
      </c>
      <c r="AJ26" s="131">
        <f t="shared" si="10"/>
        <v>48622</v>
      </c>
      <c r="AK26" s="131">
        <f t="shared" si="10"/>
        <v>48803</v>
      </c>
      <c r="AL26" s="131">
        <f t="shared" si="10"/>
        <v>48987</v>
      </c>
      <c r="AM26" s="131">
        <f t="shared" si="10"/>
        <v>49168</v>
      </c>
      <c r="AN26" s="131">
        <f t="shared" si="10"/>
        <v>49352</v>
      </c>
      <c r="AO26" s="131">
        <f t="shared" si="10"/>
        <v>49533</v>
      </c>
      <c r="AP26" s="131">
        <f t="shared" ref="AP26:BK26" si="12">+EDATE(AO26,6)</f>
        <v>49717</v>
      </c>
      <c r="AQ26" s="131">
        <f t="shared" si="12"/>
        <v>49899</v>
      </c>
      <c r="AR26" s="131">
        <f t="shared" si="12"/>
        <v>50083</v>
      </c>
      <c r="AS26" s="131">
        <f t="shared" si="12"/>
        <v>50264</v>
      </c>
      <c r="AT26" s="131">
        <f t="shared" si="12"/>
        <v>50448</v>
      </c>
      <c r="AU26" s="131">
        <f t="shared" si="12"/>
        <v>50629</v>
      </c>
      <c r="AV26" s="131">
        <f t="shared" si="12"/>
        <v>50813</v>
      </c>
      <c r="AW26" s="131">
        <f t="shared" si="12"/>
        <v>50994</v>
      </c>
      <c r="AX26" s="131">
        <f t="shared" si="12"/>
        <v>51178</v>
      </c>
      <c r="AY26" s="131">
        <f t="shared" si="12"/>
        <v>51360</v>
      </c>
      <c r="AZ26" s="131">
        <f t="shared" si="12"/>
        <v>51544</v>
      </c>
      <c r="BA26" s="131">
        <f t="shared" si="12"/>
        <v>51725</v>
      </c>
      <c r="BB26" s="131">
        <f t="shared" si="12"/>
        <v>51909</v>
      </c>
      <c r="BC26" s="131">
        <f t="shared" si="12"/>
        <v>52090</v>
      </c>
      <c r="BD26" s="131">
        <f t="shared" si="12"/>
        <v>52274</v>
      </c>
      <c r="BE26" s="131">
        <f t="shared" si="12"/>
        <v>52455</v>
      </c>
      <c r="BF26" s="131">
        <f t="shared" si="12"/>
        <v>52639</v>
      </c>
      <c r="BG26" s="131">
        <f t="shared" si="12"/>
        <v>52821</v>
      </c>
      <c r="BH26" s="131">
        <f t="shared" si="12"/>
        <v>53005</v>
      </c>
      <c r="BI26" s="131">
        <f t="shared" si="12"/>
        <v>53186</v>
      </c>
      <c r="BJ26" s="131">
        <f t="shared" si="12"/>
        <v>53370</v>
      </c>
      <c r="BK26" s="131">
        <f t="shared" si="12"/>
        <v>53551</v>
      </c>
    </row>
    <row r="27" spans="1:80" s="130" customFormat="1">
      <c r="C27" s="129" t="s">
        <v>383</v>
      </c>
      <c r="D27" s="129" t="str">
        <f ca="1">+OFFSET(bd_bonos!$A$1,MATCH(bond_calc!$A27,bd_bonos!$A$1:$A$28,0)-1,11)</f>
        <v>12/02/2054</v>
      </c>
      <c r="E27" s="202">
        <f t="array" ref="E27">+IF(MAX(($G27:$CB27&lt;$B$1)*$G27:$CB27)=0,"",MAX(($G27:$CB27&lt;$B$1)*$G27:$CB27))</f>
        <v>43689</v>
      </c>
      <c r="F27" s="202">
        <f t="array" ref="F27">+IF(MIN(IF($G27:$CB27&gt;$B$1,$G27:$CB27))=0,"",MIN(IF($G27:$CB27&gt;$B$1,$G27:$CB27)))</f>
        <v>43873</v>
      </c>
      <c r="G27" s="131">
        <v>43324</v>
      </c>
      <c r="H27" s="131">
        <f t="shared" si="6"/>
        <v>43508</v>
      </c>
      <c r="I27" s="131">
        <f t="shared" ref="I27:BT27" si="13">+EDATE(H27,6)</f>
        <v>43689</v>
      </c>
      <c r="J27" s="131">
        <f t="shared" si="13"/>
        <v>43873</v>
      </c>
      <c r="K27" s="131">
        <f t="shared" si="13"/>
        <v>44055</v>
      </c>
      <c r="L27" s="131">
        <f t="shared" si="13"/>
        <v>44239</v>
      </c>
      <c r="M27" s="131">
        <f t="shared" si="13"/>
        <v>44420</v>
      </c>
      <c r="N27" s="131">
        <f t="shared" si="13"/>
        <v>44604</v>
      </c>
      <c r="O27" s="131">
        <f t="shared" si="13"/>
        <v>44785</v>
      </c>
      <c r="P27" s="131">
        <f t="shared" si="13"/>
        <v>44969</v>
      </c>
      <c r="Q27" s="131">
        <f t="shared" si="13"/>
        <v>45150</v>
      </c>
      <c r="R27" s="131">
        <f t="shared" si="13"/>
        <v>45334</v>
      </c>
      <c r="S27" s="131">
        <f t="shared" si="13"/>
        <v>45516</v>
      </c>
      <c r="T27" s="131">
        <f t="shared" si="13"/>
        <v>45700</v>
      </c>
      <c r="U27" s="131">
        <f t="shared" si="13"/>
        <v>45881</v>
      </c>
      <c r="V27" s="131">
        <f t="shared" si="13"/>
        <v>46065</v>
      </c>
      <c r="W27" s="131">
        <f t="shared" si="13"/>
        <v>46246</v>
      </c>
      <c r="X27" s="131">
        <f t="shared" si="13"/>
        <v>46430</v>
      </c>
      <c r="Y27" s="131">
        <f t="shared" si="13"/>
        <v>46611</v>
      </c>
      <c r="Z27" s="131">
        <f t="shared" si="13"/>
        <v>46795</v>
      </c>
      <c r="AA27" s="131">
        <f t="shared" si="13"/>
        <v>46977</v>
      </c>
      <c r="AB27" s="131">
        <f t="shared" si="13"/>
        <v>47161</v>
      </c>
      <c r="AC27" s="131">
        <f t="shared" si="13"/>
        <v>47342</v>
      </c>
      <c r="AD27" s="131">
        <f t="shared" si="13"/>
        <v>47526</v>
      </c>
      <c r="AE27" s="131">
        <f t="shared" si="13"/>
        <v>47707</v>
      </c>
      <c r="AF27" s="131">
        <f t="shared" si="13"/>
        <v>47891</v>
      </c>
      <c r="AG27" s="131">
        <f t="shared" si="13"/>
        <v>48072</v>
      </c>
      <c r="AH27" s="131">
        <f t="shared" si="13"/>
        <v>48256</v>
      </c>
      <c r="AI27" s="131">
        <f t="shared" si="13"/>
        <v>48438</v>
      </c>
      <c r="AJ27" s="131">
        <f t="shared" si="13"/>
        <v>48622</v>
      </c>
      <c r="AK27" s="131">
        <f t="shared" si="13"/>
        <v>48803</v>
      </c>
      <c r="AL27" s="131">
        <f t="shared" si="13"/>
        <v>48987</v>
      </c>
      <c r="AM27" s="131">
        <f t="shared" si="13"/>
        <v>49168</v>
      </c>
      <c r="AN27" s="131">
        <f t="shared" si="13"/>
        <v>49352</v>
      </c>
      <c r="AO27" s="131">
        <f t="shared" si="13"/>
        <v>49533</v>
      </c>
      <c r="AP27" s="131">
        <f t="shared" si="13"/>
        <v>49717</v>
      </c>
      <c r="AQ27" s="131">
        <f t="shared" si="13"/>
        <v>49899</v>
      </c>
      <c r="AR27" s="131">
        <f t="shared" si="13"/>
        <v>50083</v>
      </c>
      <c r="AS27" s="131">
        <f t="shared" si="13"/>
        <v>50264</v>
      </c>
      <c r="AT27" s="131">
        <f t="shared" si="13"/>
        <v>50448</v>
      </c>
      <c r="AU27" s="131">
        <f t="shared" si="13"/>
        <v>50629</v>
      </c>
      <c r="AV27" s="131">
        <f t="shared" si="13"/>
        <v>50813</v>
      </c>
      <c r="AW27" s="131">
        <f t="shared" si="13"/>
        <v>50994</v>
      </c>
      <c r="AX27" s="131">
        <f t="shared" si="13"/>
        <v>51178</v>
      </c>
      <c r="AY27" s="131">
        <f t="shared" si="13"/>
        <v>51360</v>
      </c>
      <c r="AZ27" s="131">
        <f t="shared" si="13"/>
        <v>51544</v>
      </c>
      <c r="BA27" s="131">
        <f t="shared" si="13"/>
        <v>51725</v>
      </c>
      <c r="BB27" s="131">
        <f t="shared" si="13"/>
        <v>51909</v>
      </c>
      <c r="BC27" s="131">
        <f t="shared" si="13"/>
        <v>52090</v>
      </c>
      <c r="BD27" s="131">
        <f t="shared" si="13"/>
        <v>52274</v>
      </c>
      <c r="BE27" s="131">
        <f t="shared" si="13"/>
        <v>52455</v>
      </c>
      <c r="BF27" s="131">
        <f t="shared" si="13"/>
        <v>52639</v>
      </c>
      <c r="BG27" s="131">
        <f t="shared" si="13"/>
        <v>52821</v>
      </c>
      <c r="BH27" s="131">
        <f t="shared" si="13"/>
        <v>53005</v>
      </c>
      <c r="BI27" s="131">
        <f t="shared" si="13"/>
        <v>53186</v>
      </c>
      <c r="BJ27" s="131">
        <f t="shared" si="13"/>
        <v>53370</v>
      </c>
      <c r="BK27" s="131">
        <f t="shared" si="13"/>
        <v>53551</v>
      </c>
      <c r="BL27" s="131">
        <f t="shared" si="13"/>
        <v>53735</v>
      </c>
      <c r="BM27" s="131">
        <f t="shared" si="13"/>
        <v>53916</v>
      </c>
      <c r="BN27" s="131">
        <f t="shared" si="13"/>
        <v>54100</v>
      </c>
      <c r="BO27" s="131">
        <f t="shared" si="13"/>
        <v>54282</v>
      </c>
      <c r="BP27" s="131">
        <f t="shared" si="13"/>
        <v>54466</v>
      </c>
      <c r="BQ27" s="131">
        <f t="shared" si="13"/>
        <v>54647</v>
      </c>
      <c r="BR27" s="131">
        <f t="shared" si="13"/>
        <v>54831</v>
      </c>
      <c r="BS27" s="131">
        <f t="shared" si="13"/>
        <v>55012</v>
      </c>
      <c r="BT27" s="131">
        <f t="shared" si="13"/>
        <v>55196</v>
      </c>
      <c r="BU27" s="131">
        <f t="shared" ref="BU27:BZ27" si="14">+EDATE(BT27,6)</f>
        <v>55377</v>
      </c>
      <c r="BV27" s="131">
        <f t="shared" si="14"/>
        <v>55561</v>
      </c>
      <c r="BW27" s="131">
        <f t="shared" si="14"/>
        <v>55743</v>
      </c>
      <c r="BX27" s="131">
        <f t="shared" si="14"/>
        <v>55927</v>
      </c>
      <c r="BY27" s="131">
        <f t="shared" si="14"/>
        <v>56108</v>
      </c>
      <c r="BZ27" s="131">
        <f t="shared" si="14"/>
        <v>56292</v>
      </c>
    </row>
    <row r="28" spans="1:80" s="130" customFormat="1">
      <c r="A28"/>
      <c r="B28"/>
      <c r="C28"/>
      <c r="D28"/>
      <c r="E28" s="75"/>
      <c r="F28" s="75"/>
      <c r="G28" s="131"/>
      <c r="H28" s="131"/>
      <c r="I28" s="131"/>
      <c r="J28" s="131"/>
      <c r="K28" s="131"/>
      <c r="L28" s="131"/>
      <c r="M28" s="131"/>
      <c r="N28" s="131"/>
      <c r="O28" s="131"/>
      <c r="P28" s="131"/>
      <c r="Q28" s="131"/>
      <c r="R28" s="131"/>
      <c r="S28" s="131"/>
      <c r="T28" s="131"/>
      <c r="U28" s="131"/>
      <c r="V28" s="131"/>
      <c r="W28" s="131"/>
      <c r="X28" s="131"/>
      <c r="Y28" s="131"/>
      <c r="Z28" s="131"/>
      <c r="AA28" s="131"/>
      <c r="AB28" s="131"/>
      <c r="AC28" s="131"/>
      <c r="AD28" s="131"/>
      <c r="AE28" s="131"/>
      <c r="AF28" s="131"/>
      <c r="AG28" s="131"/>
      <c r="AH28" s="131"/>
      <c r="AI28" s="131"/>
      <c r="AJ28" s="131"/>
      <c r="AK28" s="131"/>
      <c r="AL28" s="131"/>
      <c r="AM28" s="131"/>
      <c r="AN28" s="131"/>
      <c r="AO28" s="131"/>
      <c r="AP28" s="131"/>
      <c r="AQ28" s="131"/>
      <c r="AR28" s="131"/>
      <c r="AS28" s="131"/>
      <c r="AT28" s="131"/>
      <c r="AU28" s="131"/>
      <c r="AV28" s="131"/>
      <c r="AW28" s="131"/>
      <c r="AX28" s="131"/>
      <c r="AY28" s="131"/>
      <c r="AZ28" s="131"/>
      <c r="BA28" s="131"/>
      <c r="BB28" s="131"/>
      <c r="BC28" s="131"/>
      <c r="BD28" s="131"/>
      <c r="BE28" s="131"/>
      <c r="BF28" s="131"/>
      <c r="BG28" s="131"/>
      <c r="BH28" s="131"/>
      <c r="BI28" s="131"/>
      <c r="BJ28" s="131"/>
    </row>
    <row r="29" spans="1:80" s="130" customFormat="1">
      <c r="A29"/>
      <c r="B29"/>
      <c r="C29"/>
      <c r="D29"/>
      <c r="E29" s="75"/>
      <c r="F29" s="75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131"/>
      <c r="Y29" s="131"/>
      <c r="Z29" s="131"/>
      <c r="AA29" s="131"/>
      <c r="AB29" s="131"/>
      <c r="AC29" s="131"/>
      <c r="AD29" s="131"/>
      <c r="AE29" s="131"/>
      <c r="AF29" s="131"/>
      <c r="AG29" s="131"/>
      <c r="AH29" s="131"/>
      <c r="AI29" s="131"/>
      <c r="AJ29" s="131"/>
      <c r="AK29" s="131"/>
      <c r="AL29" s="131"/>
      <c r="AM29" s="131"/>
      <c r="AN29" s="131"/>
      <c r="AO29" s="131"/>
      <c r="AP29" s="131"/>
      <c r="AQ29" s="131"/>
      <c r="AR29" s="131"/>
      <c r="AS29" s="131"/>
      <c r="AT29" s="131"/>
      <c r="AU29" s="131"/>
      <c r="AV29" s="131"/>
      <c r="AW29" s="131"/>
      <c r="AX29" s="131"/>
      <c r="AY29" s="131"/>
      <c r="AZ29" s="131"/>
      <c r="BA29" s="131"/>
      <c r="BB29" s="131"/>
      <c r="BC29" s="131"/>
      <c r="BD29" s="131"/>
      <c r="BE29" s="131"/>
      <c r="BF29" s="131"/>
      <c r="BG29" s="131"/>
      <c r="BH29" s="131"/>
      <c r="BI29" s="131"/>
      <c r="BJ29" s="131"/>
    </row>
    <row r="30" spans="1:80" s="130" customFormat="1">
      <c r="A30"/>
      <c r="B30"/>
      <c r="C30"/>
      <c r="D30"/>
      <c r="E30" s="75"/>
      <c r="F30" s="75"/>
      <c r="G30" s="131"/>
      <c r="H30" s="131"/>
      <c r="I30" s="131"/>
      <c r="J30" s="131"/>
      <c r="K30" s="131"/>
      <c r="L30" s="131"/>
      <c r="M30" s="131"/>
      <c r="N30" s="131"/>
      <c r="O30" s="131"/>
      <c r="P30" s="131"/>
      <c r="Q30" s="131"/>
      <c r="R30" s="131"/>
      <c r="S30" s="131"/>
      <c r="T30" s="131"/>
      <c r="U30" s="131"/>
      <c r="V30" s="131"/>
      <c r="W30" s="131"/>
      <c r="X30" s="131"/>
      <c r="Y30" s="131"/>
      <c r="Z30" s="131"/>
      <c r="AA30" s="131"/>
      <c r="AB30" s="131"/>
      <c r="AC30" s="131"/>
      <c r="AD30" s="131"/>
      <c r="AE30" s="131"/>
      <c r="AF30" s="131"/>
      <c r="AG30" s="131"/>
      <c r="AH30" s="131"/>
      <c r="AI30" s="131"/>
      <c r="AJ30" s="131"/>
      <c r="AK30" s="131"/>
      <c r="AL30" s="131"/>
      <c r="AM30" s="131"/>
      <c r="AN30" s="131"/>
      <c r="AO30" s="131"/>
      <c r="AP30" s="131"/>
      <c r="AQ30" s="131"/>
      <c r="AR30" s="131"/>
      <c r="AS30" s="131"/>
      <c r="AT30" s="131"/>
      <c r="AU30" s="131"/>
      <c r="AV30" s="131"/>
      <c r="AW30" s="131"/>
      <c r="AX30" s="131"/>
      <c r="AY30" s="131"/>
      <c r="AZ30" s="131"/>
      <c r="BA30" s="131"/>
      <c r="BB30" s="131"/>
      <c r="BC30" s="131"/>
      <c r="BD30" s="131"/>
      <c r="BE30" s="131"/>
      <c r="BF30" s="131"/>
      <c r="BG30" s="131"/>
      <c r="BH30" s="131"/>
      <c r="BI30" s="131"/>
      <c r="BJ30" s="131"/>
    </row>
    <row r="31" spans="1:80" s="130" customFormat="1">
      <c r="A31"/>
      <c r="B31"/>
      <c r="C31"/>
      <c r="D31"/>
      <c r="E31" s="75"/>
      <c r="F31" s="75"/>
      <c r="G31" s="131"/>
      <c r="H31" s="131"/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1"/>
      <c r="W31" s="131"/>
      <c r="X31" s="131"/>
      <c r="Y31" s="131"/>
      <c r="Z31" s="131"/>
      <c r="AA31" s="131"/>
      <c r="AB31" s="131"/>
      <c r="AC31" s="131"/>
      <c r="AD31" s="131"/>
      <c r="AE31" s="131"/>
      <c r="AF31" s="131"/>
      <c r="AG31" s="131"/>
      <c r="AH31" s="131"/>
      <c r="AI31" s="131"/>
      <c r="AJ31" s="131"/>
      <c r="AK31" s="131"/>
      <c r="AL31" s="131"/>
      <c r="AM31" s="131"/>
      <c r="AN31" s="131"/>
      <c r="AO31" s="131"/>
      <c r="AP31" s="131"/>
      <c r="AQ31" s="131"/>
      <c r="AR31" s="131"/>
      <c r="AS31" s="131"/>
      <c r="AT31" s="131"/>
      <c r="AU31" s="131"/>
      <c r="AV31" s="131"/>
      <c r="AW31" s="131"/>
      <c r="AX31" s="131"/>
      <c r="AY31" s="131"/>
      <c r="AZ31" s="131"/>
      <c r="BA31" s="131"/>
      <c r="BB31" s="131"/>
      <c r="BC31" s="131"/>
      <c r="BD31" s="131"/>
      <c r="BE31" s="131"/>
      <c r="BF31" s="131"/>
      <c r="BG31" s="131"/>
      <c r="BH31" s="131"/>
      <c r="BI31" s="131"/>
      <c r="BJ31" s="131"/>
    </row>
    <row r="32" spans="1:80" s="130" customFormat="1">
      <c r="A32"/>
      <c r="B32"/>
      <c r="C32"/>
      <c r="D32"/>
      <c r="E32" s="75"/>
      <c r="F32" s="75"/>
      <c r="G32" s="131"/>
      <c r="H32" s="131"/>
      <c r="I32" s="131"/>
      <c r="J32" s="131"/>
      <c r="K32" s="131"/>
      <c r="L32" s="131"/>
      <c r="M32" s="131"/>
      <c r="N32" s="131"/>
      <c r="O32" s="131"/>
      <c r="P32" s="131"/>
      <c r="Q32" s="131"/>
      <c r="R32" s="131"/>
      <c r="S32" s="131"/>
      <c r="T32" s="131"/>
      <c r="U32" s="131"/>
      <c r="V32" s="131"/>
      <c r="W32" s="131"/>
      <c r="X32" s="131"/>
      <c r="Y32" s="131"/>
      <c r="Z32" s="131"/>
      <c r="AA32" s="131"/>
      <c r="AB32" s="131"/>
      <c r="AC32" s="131"/>
      <c r="AD32" s="131"/>
      <c r="AE32" s="131"/>
      <c r="AF32" s="131"/>
      <c r="AG32" s="131"/>
      <c r="AH32" s="131"/>
      <c r="AI32" s="131"/>
      <c r="AJ32" s="131"/>
      <c r="AK32" s="131"/>
      <c r="AL32" s="131"/>
      <c r="AM32" s="131"/>
      <c r="AN32" s="131"/>
      <c r="AO32" s="131"/>
      <c r="AP32" s="131"/>
      <c r="AQ32" s="131"/>
      <c r="AR32" s="131"/>
      <c r="AS32" s="131"/>
      <c r="AT32" s="131"/>
      <c r="AU32" s="131"/>
      <c r="AV32" s="131"/>
      <c r="AW32" s="131"/>
      <c r="AX32" s="131"/>
      <c r="AY32" s="131"/>
      <c r="AZ32" s="131"/>
      <c r="BA32" s="131"/>
      <c r="BB32" s="131"/>
      <c r="BC32" s="131"/>
      <c r="BD32" s="131"/>
      <c r="BE32" s="131"/>
      <c r="BF32" s="131"/>
      <c r="BG32" s="131"/>
      <c r="BH32" s="131"/>
      <c r="BI32" s="131"/>
      <c r="BJ32" s="131"/>
    </row>
    <row r="33" spans="1:62" s="130" customFormat="1">
      <c r="A33"/>
      <c r="B33"/>
      <c r="C33"/>
      <c r="D33"/>
      <c r="E33" s="75"/>
      <c r="F33" s="75"/>
      <c r="G33" s="131"/>
      <c r="H33" s="131"/>
      <c r="I33" s="131"/>
      <c r="J33" s="131"/>
      <c r="K33" s="131"/>
      <c r="L33" s="131"/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</row>
    <row r="34" spans="1:62" s="130" customFormat="1">
      <c r="A34"/>
      <c r="B34"/>
      <c r="C34"/>
      <c r="D34"/>
      <c r="E34" s="75"/>
      <c r="F34" s="75"/>
      <c r="G34" s="131"/>
      <c r="H34" s="131"/>
      <c r="I34" s="131"/>
      <c r="J34" s="131"/>
      <c r="K34" s="131"/>
      <c r="L34" s="131"/>
      <c r="M34" s="131"/>
      <c r="N34" s="131"/>
      <c r="O34" s="131"/>
      <c r="P34" s="131"/>
      <c r="Q34" s="131"/>
      <c r="R34" s="131"/>
      <c r="S34" s="131"/>
      <c r="T34" s="131"/>
      <c r="U34" s="131"/>
      <c r="V34" s="131"/>
      <c r="W34" s="131"/>
      <c r="X34" s="131"/>
      <c r="Y34" s="131"/>
      <c r="Z34" s="131"/>
      <c r="AA34" s="131"/>
      <c r="AB34" s="131"/>
      <c r="AC34" s="131"/>
      <c r="AD34" s="131"/>
      <c r="AE34" s="131"/>
      <c r="AF34" s="131"/>
      <c r="AG34" s="131"/>
      <c r="AH34" s="131"/>
      <c r="AI34" s="131"/>
      <c r="AJ34" s="131"/>
      <c r="AK34" s="131"/>
      <c r="AL34" s="131"/>
      <c r="AM34" s="131"/>
      <c r="AN34" s="131"/>
      <c r="AO34" s="131"/>
      <c r="AP34" s="131"/>
      <c r="AQ34" s="131"/>
      <c r="AR34" s="131"/>
      <c r="AS34" s="131"/>
      <c r="AT34" s="131"/>
      <c r="AU34" s="131"/>
      <c r="AV34" s="131"/>
      <c r="AW34" s="131"/>
      <c r="AX34" s="131"/>
      <c r="AY34" s="131"/>
      <c r="AZ34" s="131"/>
      <c r="BA34" s="131"/>
      <c r="BB34" s="131"/>
      <c r="BC34" s="131"/>
      <c r="BD34" s="131"/>
      <c r="BE34" s="131"/>
      <c r="BF34" s="131"/>
      <c r="BG34" s="131"/>
      <c r="BH34" s="131"/>
      <c r="BI34" s="131"/>
      <c r="BJ34" s="131"/>
    </row>
    <row r="35" spans="1:62" s="130" customFormat="1">
      <c r="A35"/>
      <c r="B35"/>
      <c r="C35"/>
      <c r="D35"/>
      <c r="E35" s="75"/>
      <c r="F35" s="75"/>
      <c r="G35" s="131"/>
      <c r="H35" s="131"/>
      <c r="I35" s="131"/>
      <c r="J35" s="131"/>
      <c r="K35" s="131"/>
      <c r="L35" s="131"/>
      <c r="M35" s="131"/>
      <c r="N35" s="131"/>
      <c r="O35" s="131"/>
      <c r="P35" s="131"/>
      <c r="Q35" s="131"/>
      <c r="R35" s="131"/>
      <c r="S35" s="131"/>
      <c r="T35" s="131"/>
      <c r="U35" s="131"/>
      <c r="V35" s="131"/>
      <c r="W35" s="131"/>
      <c r="X35" s="131"/>
      <c r="Y35" s="131"/>
      <c r="Z35" s="131"/>
      <c r="AA35" s="131"/>
      <c r="AB35" s="131"/>
      <c r="AC35" s="131"/>
      <c r="AD35" s="131"/>
      <c r="AE35" s="131"/>
      <c r="AF35" s="131"/>
      <c r="AG35" s="131"/>
      <c r="AH35" s="131"/>
      <c r="AI35" s="131"/>
      <c r="AJ35" s="131"/>
      <c r="AK35" s="131"/>
      <c r="AL35" s="131"/>
      <c r="AM35" s="131"/>
      <c r="AN35" s="131"/>
      <c r="AO35" s="131"/>
      <c r="AP35" s="131"/>
      <c r="AQ35" s="131"/>
      <c r="AR35" s="131"/>
      <c r="AS35" s="131"/>
      <c r="AT35" s="131"/>
      <c r="AU35" s="131"/>
      <c r="AV35" s="131"/>
      <c r="AW35" s="131"/>
      <c r="AX35" s="131"/>
      <c r="AY35" s="131"/>
      <c r="AZ35" s="131"/>
      <c r="BA35" s="131"/>
      <c r="BB35" s="131"/>
      <c r="BC35" s="131"/>
      <c r="BD35" s="131"/>
      <c r="BE35" s="131"/>
      <c r="BF35" s="131"/>
      <c r="BG35" s="131"/>
      <c r="BH35" s="131"/>
      <c r="BI35" s="131"/>
      <c r="BJ35" s="131"/>
    </row>
    <row r="36" spans="1:62" s="130" customFormat="1">
      <c r="A36"/>
      <c r="B36"/>
      <c r="C36"/>
      <c r="D36"/>
      <c r="E36" s="75"/>
      <c r="F36" s="75"/>
      <c r="G36" s="131"/>
      <c r="H36" s="131"/>
      <c r="I36" s="131"/>
      <c r="J36" s="131"/>
      <c r="K36" s="131"/>
      <c r="L36" s="131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131"/>
      <c r="Z36" s="131"/>
      <c r="AA36" s="131"/>
      <c r="AB36" s="131"/>
      <c r="AC36" s="131"/>
      <c r="AD36" s="131"/>
      <c r="AE36" s="131"/>
      <c r="AF36" s="131"/>
      <c r="AG36" s="131"/>
      <c r="AH36" s="131"/>
      <c r="AI36" s="131"/>
      <c r="AJ36" s="131"/>
      <c r="AK36" s="131"/>
      <c r="AL36" s="131"/>
      <c r="AM36" s="131"/>
      <c r="AN36" s="131"/>
      <c r="AO36" s="131"/>
      <c r="AP36" s="131"/>
      <c r="AQ36" s="131"/>
      <c r="AR36" s="131"/>
      <c r="AS36" s="131"/>
      <c r="AT36" s="131"/>
      <c r="AU36" s="131"/>
      <c r="AV36" s="131"/>
      <c r="AW36" s="131"/>
      <c r="AX36" s="131"/>
      <c r="AY36" s="131"/>
      <c r="AZ36" s="131"/>
      <c r="BA36" s="131"/>
      <c r="BB36" s="131"/>
      <c r="BC36" s="131"/>
      <c r="BD36" s="131"/>
      <c r="BE36" s="131"/>
      <c r="BF36" s="131"/>
      <c r="BG36" s="131"/>
      <c r="BH36" s="131"/>
      <c r="BI36" s="131"/>
      <c r="BJ36" s="131"/>
    </row>
    <row r="37" spans="1:62" s="130" customFormat="1">
      <c r="A37"/>
      <c r="B37"/>
      <c r="C37"/>
      <c r="D37"/>
      <c r="E37" s="75"/>
      <c r="F37" s="75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</row>
    <row r="38" spans="1:62" s="130" customFormat="1">
      <c r="A38"/>
      <c r="B38"/>
      <c r="C38"/>
      <c r="D38"/>
      <c r="E38" s="75"/>
      <c r="F38" s="75"/>
      <c r="G38" s="131"/>
      <c r="H38" s="131"/>
      <c r="I38" s="131"/>
      <c r="J38" s="131"/>
      <c r="K38" s="131"/>
      <c r="L38" s="131"/>
      <c r="M38" s="131"/>
      <c r="N38" s="131"/>
      <c r="O38" s="131"/>
      <c r="P38" s="131"/>
      <c r="Q38" s="131"/>
      <c r="R38" s="131"/>
      <c r="S38" s="131"/>
      <c r="T38" s="131"/>
      <c r="U38" s="131"/>
      <c r="V38" s="131"/>
      <c r="W38" s="131"/>
      <c r="X38" s="131"/>
      <c r="Y38" s="131"/>
      <c r="Z38" s="131"/>
      <c r="AA38" s="131"/>
      <c r="AB38" s="131"/>
      <c r="AC38" s="131"/>
      <c r="AD38" s="131"/>
      <c r="AE38" s="131"/>
      <c r="AF38" s="131"/>
      <c r="AG38" s="131"/>
      <c r="AH38" s="131"/>
      <c r="AI38" s="131"/>
      <c r="AJ38" s="131"/>
      <c r="AK38" s="131"/>
      <c r="AL38" s="131"/>
      <c r="AM38" s="131"/>
      <c r="AN38" s="131"/>
      <c r="AO38" s="131"/>
      <c r="AP38" s="131"/>
      <c r="AQ38" s="131"/>
      <c r="AR38" s="131"/>
      <c r="AS38" s="131"/>
      <c r="AT38" s="131"/>
      <c r="AU38" s="131"/>
      <c r="AV38" s="131"/>
      <c r="AW38" s="131"/>
      <c r="AX38" s="131"/>
      <c r="AY38" s="131"/>
      <c r="AZ38" s="131"/>
      <c r="BA38" s="131"/>
      <c r="BB38" s="131"/>
      <c r="BC38" s="131"/>
      <c r="BD38" s="131"/>
      <c r="BE38" s="131"/>
      <c r="BF38" s="131"/>
      <c r="BG38" s="131"/>
      <c r="BH38" s="131"/>
      <c r="BI38" s="131"/>
      <c r="BJ38" s="131"/>
    </row>
    <row r="39" spans="1:62" s="130" customFormat="1">
      <c r="A39"/>
      <c r="B39"/>
      <c r="C39"/>
      <c r="D39"/>
      <c r="E39" s="75"/>
      <c r="F39" s="75"/>
      <c r="G39" s="131"/>
      <c r="H39" s="131"/>
      <c r="I39" s="131"/>
      <c r="J39" s="131"/>
      <c r="K39" s="131"/>
      <c r="L39" s="131"/>
      <c r="M39" s="131"/>
      <c r="N39" s="131"/>
      <c r="O39" s="131"/>
      <c r="P39" s="131"/>
      <c r="Q39" s="131"/>
      <c r="R39" s="131"/>
      <c r="S39" s="131"/>
      <c r="T39" s="131"/>
      <c r="U39" s="131"/>
      <c r="V39" s="131"/>
      <c r="W39" s="131"/>
      <c r="X39" s="131"/>
      <c r="Y39" s="131"/>
      <c r="Z39" s="131"/>
      <c r="AA39" s="131"/>
      <c r="AB39" s="131"/>
      <c r="AC39" s="131"/>
      <c r="AD39" s="131"/>
      <c r="AE39" s="131"/>
      <c r="AF39" s="131"/>
      <c r="AG39" s="131"/>
      <c r="AH39" s="131"/>
      <c r="AI39" s="131"/>
      <c r="AJ39" s="131"/>
      <c r="AK39" s="131"/>
      <c r="AL39" s="131"/>
      <c r="AM39" s="131"/>
      <c r="AN39" s="131"/>
      <c r="AO39" s="131"/>
      <c r="AP39" s="131"/>
      <c r="AQ39" s="131"/>
      <c r="AR39" s="131"/>
      <c r="AS39" s="131"/>
      <c r="AT39" s="131"/>
      <c r="AU39" s="131"/>
      <c r="AV39" s="131"/>
      <c r="AW39" s="131"/>
      <c r="AX39" s="131"/>
      <c r="AY39" s="131"/>
      <c r="AZ39" s="131"/>
      <c r="BA39" s="131"/>
      <c r="BB39" s="131"/>
      <c r="BC39" s="131"/>
      <c r="BD39" s="131"/>
      <c r="BE39" s="131"/>
      <c r="BF39" s="131"/>
      <c r="BG39" s="131"/>
      <c r="BH39" s="131"/>
      <c r="BI39" s="131"/>
      <c r="BJ39" s="131"/>
    </row>
    <row r="40" spans="1:62" s="130" customFormat="1">
      <c r="A40"/>
      <c r="B40"/>
      <c r="C40"/>
      <c r="D40"/>
      <c r="E40" s="75"/>
      <c r="F40" s="75"/>
      <c r="G40" s="131"/>
      <c r="H40" s="131"/>
      <c r="I40" s="131"/>
      <c r="J40" s="131"/>
      <c r="K40" s="131"/>
      <c r="L40" s="131"/>
      <c r="M40" s="131"/>
      <c r="N40" s="131"/>
      <c r="O40" s="131"/>
      <c r="P40" s="131"/>
      <c r="Q40" s="131"/>
      <c r="R40" s="131"/>
      <c r="S40" s="131"/>
      <c r="T40" s="131"/>
      <c r="U40" s="131"/>
      <c r="V40" s="131"/>
      <c r="W40" s="131"/>
      <c r="X40" s="131"/>
      <c r="Y40" s="131"/>
      <c r="Z40" s="131"/>
      <c r="AA40" s="131"/>
      <c r="AB40" s="131"/>
      <c r="AC40" s="131"/>
      <c r="AD40" s="131"/>
      <c r="AE40" s="131"/>
      <c r="AF40" s="131"/>
      <c r="AG40" s="131"/>
      <c r="AH40" s="131"/>
      <c r="AI40" s="131"/>
      <c r="AJ40" s="131"/>
      <c r="AK40" s="131"/>
      <c r="AL40" s="131"/>
      <c r="AM40" s="131"/>
      <c r="AN40" s="131"/>
      <c r="AO40" s="131"/>
      <c r="AP40" s="131"/>
      <c r="AQ40" s="131"/>
      <c r="AR40" s="131"/>
      <c r="AS40" s="131"/>
      <c r="AT40" s="131"/>
      <c r="AU40" s="131"/>
      <c r="AV40" s="131"/>
      <c r="AW40" s="131"/>
      <c r="AX40" s="131"/>
      <c r="AY40" s="131"/>
      <c r="AZ40" s="131"/>
      <c r="BA40" s="131"/>
      <c r="BB40" s="131"/>
      <c r="BC40" s="131"/>
      <c r="BD40" s="131"/>
      <c r="BE40" s="131"/>
      <c r="BF40" s="131"/>
      <c r="BG40" s="131"/>
      <c r="BH40" s="131"/>
      <c r="BI40" s="131"/>
      <c r="BJ40" s="131"/>
    </row>
    <row r="41" spans="1:62" s="130" customFormat="1">
      <c r="A41"/>
      <c r="B41"/>
      <c r="C41"/>
      <c r="D41"/>
      <c r="E41" s="75"/>
      <c r="F41" s="75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</row>
    <row r="42" spans="1:62" s="130" customFormat="1">
      <c r="A42"/>
      <c r="B42"/>
      <c r="C42"/>
      <c r="D42"/>
      <c r="E42" s="75"/>
      <c r="F42" s="75"/>
      <c r="G42" s="131"/>
      <c r="H42" s="131"/>
      <c r="I42" s="131"/>
      <c r="J42" s="131"/>
      <c r="K42" s="131"/>
      <c r="L42" s="131"/>
      <c r="M42" s="131"/>
      <c r="N42" s="131"/>
      <c r="O42" s="131"/>
      <c r="P42" s="131"/>
      <c r="Q42" s="131"/>
      <c r="R42" s="131"/>
      <c r="S42" s="131"/>
      <c r="T42" s="131"/>
      <c r="U42" s="131"/>
      <c r="V42" s="131"/>
      <c r="W42" s="131"/>
      <c r="X42" s="131"/>
      <c r="Y42" s="131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  <c r="AP42" s="131"/>
      <c r="AQ42" s="131"/>
      <c r="AR42" s="131"/>
      <c r="AS42" s="131"/>
      <c r="AT42" s="131"/>
      <c r="AU42" s="131"/>
      <c r="AV42" s="131"/>
      <c r="AW42" s="131"/>
      <c r="AX42" s="131"/>
      <c r="AY42" s="131"/>
      <c r="AZ42" s="131"/>
      <c r="BA42" s="131"/>
      <c r="BB42" s="131"/>
      <c r="BC42" s="131"/>
      <c r="BD42" s="131"/>
      <c r="BE42" s="131"/>
      <c r="BF42" s="131"/>
      <c r="BG42" s="131"/>
      <c r="BH42" s="131"/>
      <c r="BI42" s="131"/>
      <c r="BJ42" s="131"/>
    </row>
    <row r="43" spans="1:62" s="130" customFormat="1">
      <c r="A43"/>
      <c r="B43"/>
      <c r="C43"/>
      <c r="D43"/>
      <c r="E43" s="75"/>
      <c r="F43" s="75"/>
      <c r="G43" s="131"/>
      <c r="H43" s="131"/>
      <c r="I43" s="131"/>
      <c r="J43" s="131"/>
      <c r="K43" s="131"/>
      <c r="L43" s="131"/>
      <c r="M43" s="131"/>
      <c r="N43" s="131"/>
      <c r="O43" s="131"/>
      <c r="P43" s="131"/>
      <c r="Q43" s="131"/>
      <c r="R43" s="131"/>
      <c r="S43" s="131"/>
      <c r="T43" s="131"/>
      <c r="U43" s="131"/>
      <c r="V43" s="131"/>
      <c r="W43" s="131"/>
      <c r="X43" s="131"/>
      <c r="Y43" s="131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  <c r="AP43" s="131"/>
      <c r="AQ43" s="131"/>
      <c r="AR43" s="131"/>
      <c r="AS43" s="131"/>
      <c r="AT43" s="131"/>
      <c r="AU43" s="131"/>
      <c r="AV43" s="131"/>
      <c r="AW43" s="131"/>
      <c r="AX43" s="131"/>
      <c r="AY43" s="131"/>
      <c r="AZ43" s="131"/>
      <c r="BA43" s="131"/>
      <c r="BB43" s="131"/>
      <c r="BC43" s="131"/>
      <c r="BD43" s="131"/>
      <c r="BE43" s="131"/>
      <c r="BF43" s="131"/>
      <c r="BG43" s="131"/>
      <c r="BH43" s="131"/>
      <c r="BI43" s="131"/>
      <c r="BJ43" s="131"/>
    </row>
    <row r="44" spans="1:62" s="130" customFormat="1">
      <c r="A44"/>
      <c r="B44"/>
      <c r="C44"/>
      <c r="D44"/>
      <c r="E44" s="75"/>
      <c r="F44" s="75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131"/>
      <c r="T44" s="131"/>
      <c r="U44" s="131"/>
      <c r="V44" s="131"/>
      <c r="W44" s="131"/>
      <c r="X44" s="131"/>
      <c r="Y44" s="131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  <c r="AP44" s="131"/>
      <c r="AQ44" s="131"/>
      <c r="AR44" s="131"/>
      <c r="AS44" s="131"/>
      <c r="AT44" s="131"/>
      <c r="AU44" s="131"/>
      <c r="AV44" s="131"/>
      <c r="AW44" s="131"/>
      <c r="AX44" s="131"/>
      <c r="AY44" s="131"/>
      <c r="AZ44" s="131"/>
      <c r="BA44" s="131"/>
      <c r="BB44" s="131"/>
      <c r="BC44" s="131"/>
      <c r="BD44" s="131"/>
      <c r="BE44" s="131"/>
      <c r="BF44" s="131"/>
      <c r="BG44" s="131"/>
      <c r="BH44" s="131"/>
      <c r="BI44" s="131"/>
      <c r="BJ44" s="131"/>
    </row>
    <row r="45" spans="1:62" s="130" customFormat="1">
      <c r="A45"/>
      <c r="B45"/>
      <c r="C45"/>
      <c r="D45"/>
      <c r="E45" s="75"/>
      <c r="F45" s="75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  <c r="AP45" s="131"/>
      <c r="AQ45" s="131"/>
      <c r="AR45" s="131"/>
      <c r="AS45" s="131"/>
      <c r="AT45" s="131"/>
      <c r="AU45" s="131"/>
      <c r="AV45" s="131"/>
      <c r="AW45" s="131"/>
      <c r="AX45" s="131"/>
      <c r="AY45" s="131"/>
      <c r="AZ45" s="131"/>
      <c r="BA45" s="131"/>
      <c r="BB45" s="131"/>
      <c r="BC45" s="131"/>
      <c r="BD45" s="131"/>
      <c r="BE45" s="131"/>
      <c r="BF45" s="131"/>
      <c r="BG45" s="131"/>
      <c r="BH45" s="131"/>
      <c r="BI45" s="131"/>
      <c r="BJ45" s="131"/>
    </row>
    <row r="46" spans="1:62" s="130" customFormat="1">
      <c r="A46"/>
      <c r="B46"/>
      <c r="C46"/>
      <c r="D46"/>
      <c r="E46" s="75"/>
      <c r="F46" s="75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  <c r="AH46" s="131"/>
      <c r="AI46" s="131"/>
      <c r="AJ46" s="131"/>
      <c r="AK46" s="131"/>
      <c r="AL46" s="131"/>
      <c r="AM46" s="131"/>
      <c r="AN46" s="131"/>
      <c r="AO46" s="131"/>
      <c r="AP46" s="131"/>
      <c r="AQ46" s="131"/>
      <c r="AR46" s="131"/>
      <c r="AS46" s="131"/>
      <c r="AT46" s="131"/>
      <c r="AU46" s="131"/>
      <c r="AV46" s="131"/>
      <c r="AW46" s="131"/>
      <c r="AX46" s="131"/>
      <c r="AY46" s="131"/>
      <c r="AZ46" s="131"/>
      <c r="BA46" s="131"/>
      <c r="BB46" s="131"/>
      <c r="BC46" s="131"/>
      <c r="BD46" s="131"/>
      <c r="BE46" s="131"/>
      <c r="BF46" s="131"/>
      <c r="BG46" s="131"/>
      <c r="BH46" s="131"/>
      <c r="BI46" s="131"/>
      <c r="BJ46" s="131"/>
    </row>
    <row r="47" spans="1:62" s="130" customFormat="1">
      <c r="A47"/>
      <c r="B47"/>
      <c r="C47"/>
      <c r="D47"/>
      <c r="E47" s="75"/>
      <c r="F47" s="75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31"/>
      <c r="AI47" s="131"/>
      <c r="AJ47" s="131"/>
      <c r="AK47" s="131"/>
      <c r="AL47" s="131"/>
      <c r="AM47" s="131"/>
      <c r="AN47" s="131"/>
      <c r="AO47" s="131"/>
      <c r="AP47" s="131"/>
      <c r="AQ47" s="131"/>
      <c r="AR47" s="131"/>
      <c r="AS47" s="131"/>
      <c r="AT47" s="131"/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  <c r="BE47" s="131"/>
      <c r="BF47" s="131"/>
      <c r="BG47" s="131"/>
      <c r="BH47" s="131"/>
      <c r="BI47" s="131"/>
      <c r="BJ47" s="131"/>
    </row>
    <row r="48" spans="1:62" s="130" customFormat="1">
      <c r="A48"/>
      <c r="B48"/>
      <c r="C48"/>
      <c r="D48"/>
      <c r="E48" s="75"/>
      <c r="F48" s="75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F48" s="131"/>
      <c r="AG48" s="131"/>
      <c r="AH48" s="131"/>
      <c r="AI48" s="131"/>
      <c r="AJ48" s="131"/>
      <c r="AK48" s="131"/>
      <c r="AL48" s="131"/>
      <c r="AM48" s="131"/>
      <c r="AN48" s="131"/>
      <c r="AO48" s="131"/>
      <c r="AP48" s="131"/>
      <c r="AQ48" s="131"/>
      <c r="AR48" s="131"/>
      <c r="AS48" s="131"/>
      <c r="AT48" s="131"/>
      <c r="AU48" s="131"/>
      <c r="AV48" s="131"/>
      <c r="AW48" s="131"/>
      <c r="AX48" s="131"/>
      <c r="AY48" s="131"/>
      <c r="AZ48" s="131"/>
      <c r="BA48" s="131"/>
      <c r="BB48" s="131"/>
      <c r="BC48" s="131"/>
      <c r="BD48" s="131"/>
      <c r="BE48" s="131"/>
      <c r="BF48" s="131"/>
      <c r="BG48" s="131"/>
      <c r="BH48" s="131"/>
      <c r="BI48" s="131"/>
      <c r="BJ48" s="131"/>
    </row>
    <row r="49" spans="1:62" s="130" customFormat="1">
      <c r="A49"/>
      <c r="B49"/>
      <c r="C49"/>
      <c r="D49"/>
      <c r="E49" s="75"/>
      <c r="F49" s="75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  <c r="AH49" s="131"/>
      <c r="AI49" s="131"/>
      <c r="AJ49" s="131"/>
      <c r="AK49" s="131"/>
      <c r="AL49" s="131"/>
      <c r="AM49" s="131"/>
      <c r="AN49" s="131"/>
      <c r="AO49" s="131"/>
      <c r="AP49" s="131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1"/>
      <c r="BD49" s="131"/>
      <c r="BE49" s="131"/>
      <c r="BF49" s="131"/>
      <c r="BG49" s="131"/>
      <c r="BH49" s="131"/>
      <c r="BI49" s="131"/>
      <c r="BJ49" s="131"/>
    </row>
    <row r="50" spans="1:62" s="130" customFormat="1">
      <c r="A50"/>
      <c r="B50"/>
      <c r="C50"/>
      <c r="D50"/>
      <c r="E50" s="75"/>
      <c r="F50" s="75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  <c r="AP50" s="131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  <c r="BE50" s="131"/>
      <c r="BF50" s="131"/>
      <c r="BG50" s="131"/>
      <c r="BH50" s="131"/>
      <c r="BI50" s="131"/>
      <c r="BJ50" s="131"/>
    </row>
    <row r="51" spans="1:62" s="130" customFormat="1">
      <c r="A51"/>
      <c r="B51"/>
      <c r="C51"/>
      <c r="D51"/>
      <c r="E51" s="75"/>
      <c r="F51" s="75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  <c r="BE51" s="131"/>
      <c r="BF51" s="131"/>
      <c r="BG51" s="131"/>
      <c r="BH51" s="131"/>
      <c r="BI51" s="131"/>
      <c r="BJ51" s="131"/>
    </row>
    <row r="52" spans="1:62" s="130" customFormat="1">
      <c r="A52"/>
      <c r="B52"/>
      <c r="C52"/>
      <c r="D52"/>
      <c r="E52" s="75"/>
      <c r="F52" s="75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1"/>
      <c r="AP52" s="131"/>
      <c r="AQ52" s="131"/>
      <c r="AR52" s="131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1"/>
      <c r="BD52" s="131"/>
      <c r="BE52" s="131"/>
      <c r="BF52" s="131"/>
      <c r="BG52" s="131"/>
      <c r="BH52" s="131"/>
      <c r="BI52" s="131"/>
      <c r="BJ52" s="13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0">
    <tabColor rgb="FFED3237"/>
  </sheetPr>
  <dimension ref="A1"/>
  <sheetViews>
    <sheetView workbookViewId="0">
      <selection activeCell="C2" sqref="C2"/>
    </sheetView>
  </sheetViews>
  <sheetFormatPr defaultColWidth="10.84375" defaultRowHeight="14.6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2">
    <tabColor rgb="FFED3237"/>
  </sheetPr>
  <dimension ref="A1:AW11"/>
  <sheetViews>
    <sheetView workbookViewId="0">
      <pane xSplit="1" ySplit="7" topLeftCell="B8" activePane="bottomRight" state="frozen"/>
      <selection pane="topRight" activeCell="B1" sqref="B1"/>
      <selection pane="bottomLeft" activeCell="A9" sqref="A9"/>
      <selection pane="bottomRight" activeCell="C8" sqref="C8:AV8"/>
    </sheetView>
  </sheetViews>
  <sheetFormatPr defaultColWidth="11.4609375" defaultRowHeight="14.6"/>
  <cols>
    <col min="1" max="1" width="10.3828125" style="155" bestFit="1" customWidth="1"/>
    <col min="2" max="8" width="5.4609375" style="155" bestFit="1" customWidth="1"/>
    <col min="9" max="9" width="6.4609375" style="155" bestFit="1" customWidth="1"/>
    <col min="10" max="13" width="5.4609375" style="155" bestFit="1" customWidth="1"/>
    <col min="14" max="14" width="6.4609375" style="155" bestFit="1" customWidth="1"/>
    <col min="15" max="16" width="5.4609375" style="155" bestFit="1" customWidth="1"/>
    <col min="17" max="17" width="6.4609375" style="155" bestFit="1" customWidth="1"/>
    <col min="18" max="21" width="5.4609375" style="155" bestFit="1" customWidth="1"/>
    <col min="22" max="33" width="5" style="155" bestFit="1" customWidth="1"/>
    <col min="34" max="34" width="6.4609375" style="155" bestFit="1" customWidth="1"/>
    <col min="35" max="49" width="5" style="155" bestFit="1" customWidth="1"/>
    <col min="50" max="16384" width="11.4609375" style="1"/>
  </cols>
  <sheetData>
    <row r="1" spans="1:49">
      <c r="A1" s="329" t="s">
        <v>559</v>
      </c>
      <c r="B1" s="329"/>
      <c r="C1" s="329"/>
      <c r="D1" s="329"/>
      <c r="E1" s="329"/>
      <c r="F1" s="329"/>
      <c r="G1" s="329"/>
      <c r="H1" s="329"/>
      <c r="I1" s="329"/>
      <c r="J1" s="329"/>
      <c r="K1" s="329"/>
      <c r="L1" s="329"/>
      <c r="M1" s="329"/>
      <c r="N1" s="329"/>
      <c r="O1" s="329"/>
      <c r="P1" s="329"/>
      <c r="Q1" s="329"/>
      <c r="R1" s="329"/>
      <c r="S1" s="329"/>
      <c r="T1" s="329"/>
      <c r="U1" s="329"/>
      <c r="V1" s="329"/>
      <c r="W1" s="329"/>
      <c r="X1" s="329"/>
      <c r="Y1" s="329"/>
      <c r="Z1" s="329"/>
      <c r="AA1" s="329"/>
      <c r="AB1" s="329"/>
      <c r="AC1" s="329"/>
      <c r="AD1" s="329"/>
      <c r="AE1" s="329"/>
      <c r="AF1" s="329"/>
      <c r="AG1" s="329"/>
      <c r="AH1" s="329"/>
      <c r="AI1" s="329"/>
      <c r="AJ1" s="329"/>
      <c r="AK1" s="329"/>
      <c r="AL1" s="329"/>
      <c r="AM1" s="329"/>
      <c r="AN1" s="329"/>
      <c r="AO1" s="329"/>
      <c r="AP1" s="329"/>
      <c r="AQ1" s="329"/>
      <c r="AR1" s="329"/>
      <c r="AS1" s="329"/>
      <c r="AT1" s="329"/>
      <c r="AU1" s="329"/>
      <c r="AV1" s="329"/>
      <c r="AW1" s="329"/>
    </row>
    <row r="2" spans="1:49">
      <c r="A2" s="337" t="s">
        <v>560</v>
      </c>
      <c r="B2" s="337"/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7"/>
      <c r="U2" s="337"/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  <c r="AK2" s="337"/>
      <c r="AL2" s="337"/>
      <c r="AM2" s="337"/>
      <c r="AN2" s="337"/>
      <c r="AO2" s="337"/>
      <c r="AP2" s="337"/>
      <c r="AQ2" s="337"/>
      <c r="AR2" s="337"/>
      <c r="AS2" s="337"/>
      <c r="AT2" s="337"/>
      <c r="AU2" s="337"/>
      <c r="AV2" s="337"/>
      <c r="AW2" s="337"/>
    </row>
    <row r="3" spans="1:49">
      <c r="A3" s="338" t="s">
        <v>427</v>
      </c>
      <c r="B3" s="338"/>
      <c r="C3" s="339">
        <f>+intercambio!B4</f>
        <v>43792</v>
      </c>
      <c r="D3" s="340"/>
      <c r="E3" s="340"/>
      <c r="U3" s="180"/>
      <c r="V3" s="180"/>
      <c r="W3" s="186"/>
      <c r="X3" s="186"/>
      <c r="Y3" s="186"/>
    </row>
    <row r="4" spans="1:49">
      <c r="A4" s="338" t="s">
        <v>418</v>
      </c>
      <c r="B4" s="338"/>
      <c r="C4" s="340" t="e">
        <f ca="1">+intercambio!B10</f>
        <v>#NAME?</v>
      </c>
      <c r="D4" s="340"/>
      <c r="E4" s="340"/>
      <c r="U4" s="180"/>
      <c r="V4" s="180"/>
      <c r="W4" s="180"/>
      <c r="X4" s="180"/>
      <c r="Y4" s="180"/>
    </row>
    <row r="5" spans="1:49">
      <c r="A5" s="338" t="s">
        <v>561</v>
      </c>
      <c r="B5" s="338"/>
      <c r="C5" s="340"/>
      <c r="D5" s="340"/>
      <c r="E5" s="340"/>
      <c r="U5" s="180"/>
      <c r="V5" s="180"/>
      <c r="W5" s="180"/>
      <c r="X5" s="180"/>
      <c r="Y5" s="180"/>
    </row>
    <row r="7" spans="1:49">
      <c r="B7" s="182">
        <v>2018</v>
      </c>
      <c r="C7" s="182">
        <v>2019</v>
      </c>
      <c r="D7" s="182">
        <v>2020</v>
      </c>
      <c r="E7" s="182">
        <v>2021</v>
      </c>
      <c r="F7" s="182">
        <v>2022</v>
      </c>
      <c r="G7" s="182">
        <v>2023</v>
      </c>
      <c r="H7" s="182">
        <v>2024</v>
      </c>
      <c r="I7" s="182">
        <v>2025</v>
      </c>
      <c r="J7" s="182">
        <v>2026</v>
      </c>
      <c r="K7" s="182">
        <v>2027</v>
      </c>
      <c r="L7" s="182">
        <v>2028</v>
      </c>
      <c r="M7" s="182">
        <v>2029</v>
      </c>
      <c r="N7" s="182">
        <v>2030</v>
      </c>
      <c r="O7" s="182">
        <v>2031</v>
      </c>
      <c r="P7" s="182">
        <v>2032</v>
      </c>
      <c r="Q7" s="182">
        <v>2033</v>
      </c>
      <c r="R7" s="182">
        <v>2034</v>
      </c>
      <c r="S7" s="182">
        <v>2035</v>
      </c>
      <c r="T7" s="182">
        <v>2036</v>
      </c>
      <c r="U7" s="182">
        <v>2037</v>
      </c>
      <c r="V7" s="182">
        <v>2038</v>
      </c>
      <c r="W7" s="182">
        <v>2039</v>
      </c>
      <c r="X7" s="182">
        <v>2040</v>
      </c>
      <c r="Y7" s="182">
        <v>2041</v>
      </c>
      <c r="Z7" s="182">
        <v>2042</v>
      </c>
      <c r="AA7" s="182">
        <v>2043</v>
      </c>
      <c r="AB7" s="182">
        <v>2044</v>
      </c>
      <c r="AC7" s="182">
        <v>2045</v>
      </c>
      <c r="AD7" s="182">
        <v>2046</v>
      </c>
      <c r="AE7" s="182">
        <v>2047</v>
      </c>
      <c r="AF7" s="182">
        <v>2048</v>
      </c>
      <c r="AG7" s="182">
        <v>2049</v>
      </c>
      <c r="AH7" s="182">
        <v>2050</v>
      </c>
      <c r="AI7" s="182">
        <v>2051</v>
      </c>
      <c r="AJ7" s="182">
        <v>2052</v>
      </c>
      <c r="AK7" s="182">
        <v>2053</v>
      </c>
      <c r="AL7" s="182">
        <v>2054</v>
      </c>
      <c r="AM7" s="182">
        <v>2055</v>
      </c>
      <c r="AN7" s="182">
        <v>2056</v>
      </c>
      <c r="AO7" s="182">
        <v>2057</v>
      </c>
      <c r="AP7" s="182">
        <v>2058</v>
      </c>
      <c r="AQ7" s="182">
        <v>2059</v>
      </c>
      <c r="AR7" s="182">
        <v>2060</v>
      </c>
      <c r="AS7" s="182">
        <v>2061</v>
      </c>
      <c r="AT7" s="182">
        <v>2062</v>
      </c>
      <c r="AU7" s="182">
        <v>2063</v>
      </c>
      <c r="AV7" s="182">
        <v>2064</v>
      </c>
      <c r="AW7" s="182">
        <v>2065</v>
      </c>
    </row>
    <row r="8" spans="1:49">
      <c r="A8" s="4" t="s">
        <v>562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77"/>
      <c r="U8" s="177"/>
      <c r="V8" s="177"/>
      <c r="W8" s="177"/>
      <c r="X8" s="177"/>
      <c r="Y8" s="177"/>
      <c r="Z8" s="177"/>
      <c r="AA8" s="177"/>
      <c r="AB8" s="177"/>
      <c r="AC8" s="177"/>
      <c r="AD8" s="177"/>
      <c r="AE8" s="177"/>
      <c r="AF8" s="177"/>
      <c r="AG8" s="177"/>
      <c r="AH8" s="177"/>
      <c r="AI8" s="177"/>
      <c r="AJ8" s="177"/>
      <c r="AK8" s="177"/>
      <c r="AL8" s="177"/>
      <c r="AM8" s="177"/>
      <c r="AN8" s="177"/>
      <c r="AO8" s="177"/>
      <c r="AP8" s="177"/>
      <c r="AQ8" s="177"/>
      <c r="AR8" s="177"/>
      <c r="AS8" s="177"/>
      <c r="AT8" s="177"/>
      <c r="AU8" s="177"/>
      <c r="AV8" s="177"/>
      <c r="AW8" s="177"/>
    </row>
    <row r="9" spans="1:49">
      <c r="A9" s="4" t="s">
        <v>563</v>
      </c>
      <c r="B9" s="177">
        <v>804.87351772999989</v>
      </c>
      <c r="C9" s="177">
        <v>3468.8319352400003</v>
      </c>
      <c r="D9" s="177">
        <v>2155.9234589100001</v>
      </c>
      <c r="E9" s="177">
        <v>2201.3952675399996</v>
      </c>
      <c r="F9" s="177">
        <v>2252.9391223399998</v>
      </c>
      <c r="G9" s="177">
        <v>2308.9745850599998</v>
      </c>
      <c r="H9" s="177">
        <v>2374.82595412</v>
      </c>
      <c r="I9" s="177">
        <v>9241.5902939499974</v>
      </c>
      <c r="J9" s="177">
        <v>8152.5899542199995</v>
      </c>
      <c r="K9" s="177">
        <v>7090.1273641899998</v>
      </c>
      <c r="L9" s="177">
        <v>1926.21934085</v>
      </c>
      <c r="M9" s="177">
        <v>1978.83169714</v>
      </c>
      <c r="N9" s="177">
        <v>8657.3825426499989</v>
      </c>
      <c r="O9" s="177">
        <v>1832.35573488</v>
      </c>
      <c r="P9" s="177">
        <v>1881.7257534199998</v>
      </c>
      <c r="Q9" s="177">
        <v>12298.075169440001</v>
      </c>
      <c r="R9" s="177">
        <v>1056.11312447</v>
      </c>
      <c r="S9" s="177">
        <v>2849.2617585600001</v>
      </c>
      <c r="T9" s="177">
        <v>2976.73592646</v>
      </c>
      <c r="U9" s="177">
        <v>2723.3053348200001</v>
      </c>
      <c r="V9" s="177">
        <v>758.28829341999995</v>
      </c>
      <c r="W9" s="177">
        <v>777.05235803999994</v>
      </c>
      <c r="X9" s="177">
        <v>796.46338089000005</v>
      </c>
      <c r="Y9" s="177">
        <v>816.45116097000005</v>
      </c>
      <c r="Z9" s="177">
        <v>837.07329014000004</v>
      </c>
      <c r="AA9" s="177">
        <v>858.34414027000003</v>
      </c>
      <c r="AB9" s="177">
        <v>880.30320100999995</v>
      </c>
      <c r="AC9" s="177">
        <v>902.94107008000003</v>
      </c>
      <c r="AD9" s="177">
        <v>926.32551122999996</v>
      </c>
      <c r="AE9" s="177">
        <v>950.47561607</v>
      </c>
      <c r="AF9" s="177">
        <v>961.76393148</v>
      </c>
      <c r="AG9" s="177">
        <v>961.76393148</v>
      </c>
      <c r="AH9" s="177">
        <v>18059.789380099999</v>
      </c>
      <c r="AI9" s="177">
        <v>0</v>
      </c>
      <c r="AJ9" s="177">
        <v>0</v>
      </c>
      <c r="AK9" s="177">
        <v>0</v>
      </c>
      <c r="AL9" s="177">
        <v>0</v>
      </c>
      <c r="AM9" s="177">
        <v>0</v>
      </c>
      <c r="AN9" s="177">
        <v>0</v>
      </c>
      <c r="AO9" s="177">
        <v>0</v>
      </c>
      <c r="AP9" s="177">
        <v>0</v>
      </c>
      <c r="AQ9" s="177">
        <v>0</v>
      </c>
      <c r="AR9" s="177">
        <v>0</v>
      </c>
      <c r="AS9" s="177">
        <v>0</v>
      </c>
      <c r="AT9" s="177">
        <v>0</v>
      </c>
      <c r="AU9" s="177">
        <v>0</v>
      </c>
      <c r="AV9" s="177">
        <v>0</v>
      </c>
      <c r="AW9" s="177">
        <v>0</v>
      </c>
    </row>
    <row r="10" spans="1:49">
      <c r="A10" s="4" t="s">
        <v>564</v>
      </c>
      <c r="B10" s="177">
        <v>893.49823041999969</v>
      </c>
      <c r="C10" s="177">
        <v>3264.0522696800008</v>
      </c>
      <c r="D10" s="177">
        <v>2052.47077687</v>
      </c>
      <c r="E10" s="177">
        <v>2080.0601455400006</v>
      </c>
      <c r="F10" s="177">
        <v>2181.33454695</v>
      </c>
      <c r="G10" s="177">
        <v>2088.7905712800007</v>
      </c>
      <c r="H10" s="177">
        <v>1684.0149015399995</v>
      </c>
      <c r="I10" s="177">
        <v>1351.6802580100004</v>
      </c>
      <c r="J10" s="177">
        <v>931.35787700000014</v>
      </c>
      <c r="K10" s="177">
        <v>1707.1846306900006</v>
      </c>
      <c r="L10" s="177">
        <v>1447.23082484</v>
      </c>
      <c r="M10" s="177">
        <v>1302.7723201100005</v>
      </c>
      <c r="N10" s="177">
        <v>1637.6101004800003</v>
      </c>
      <c r="O10" s="177">
        <v>307.02752104999996</v>
      </c>
      <c r="P10" s="177">
        <v>242.26644658999996</v>
      </c>
      <c r="Q10" s="177">
        <v>216.13731188</v>
      </c>
      <c r="R10" s="177">
        <v>202.13060805999999</v>
      </c>
      <c r="S10" s="177">
        <v>183.84775160999999</v>
      </c>
      <c r="T10" s="177">
        <v>172.02057396000001</v>
      </c>
      <c r="U10" s="177">
        <v>143.90585862</v>
      </c>
      <c r="V10" s="177">
        <v>60.29015828</v>
      </c>
      <c r="W10" s="177">
        <v>39.80000416</v>
      </c>
      <c r="X10" s="177">
        <v>23.989771300000001</v>
      </c>
      <c r="Y10" s="177">
        <v>3.3007126599999999</v>
      </c>
      <c r="Z10" s="177">
        <v>1.6910026299999998</v>
      </c>
      <c r="AA10" s="177">
        <v>4.0943769999999997E-2</v>
      </c>
      <c r="AB10" s="177">
        <v>4.2121159999999998E-2</v>
      </c>
      <c r="AC10" s="177">
        <v>4.3316060000000003E-2</v>
      </c>
      <c r="AD10" s="177">
        <v>4.4528760000000001E-2</v>
      </c>
      <c r="AE10" s="177">
        <v>4.5758569999999998E-2</v>
      </c>
      <c r="AF10" s="177">
        <v>4.5957619999999998E-2</v>
      </c>
      <c r="AG10" s="177">
        <v>4.5623520000000001E-2</v>
      </c>
      <c r="AH10" s="177">
        <v>4.52894E-2</v>
      </c>
      <c r="AI10" s="177">
        <v>4.4955540000000002E-2</v>
      </c>
      <c r="AJ10" s="177">
        <v>2.2352449999999999E-2</v>
      </c>
      <c r="AK10" s="177">
        <v>0</v>
      </c>
      <c r="AL10" s="177">
        <v>0</v>
      </c>
      <c r="AM10" s="177">
        <v>0</v>
      </c>
      <c r="AN10" s="177">
        <v>0</v>
      </c>
      <c r="AO10" s="177">
        <v>0</v>
      </c>
      <c r="AP10" s="177">
        <v>0</v>
      </c>
      <c r="AQ10" s="177">
        <v>0</v>
      </c>
      <c r="AR10" s="177">
        <v>0</v>
      </c>
      <c r="AS10" s="177">
        <v>0</v>
      </c>
      <c r="AT10" s="177">
        <v>0</v>
      </c>
      <c r="AU10" s="177">
        <v>0</v>
      </c>
      <c r="AV10" s="177">
        <v>0</v>
      </c>
      <c r="AW10" s="177">
        <v>0</v>
      </c>
    </row>
    <row r="11" spans="1:49">
      <c r="A11" s="183" t="s">
        <v>565</v>
      </c>
      <c r="B11" s="185">
        <f>+SUM(B8:B10)</f>
        <v>1698.3717481499996</v>
      </c>
      <c r="C11" s="185">
        <f t="shared" ref="C11:AW11" si="0">+SUM(C8:C10)</f>
        <v>6732.8842049200011</v>
      </c>
      <c r="D11" s="185">
        <f t="shared" si="0"/>
        <v>4208.3942357800006</v>
      </c>
      <c r="E11" s="185">
        <f t="shared" si="0"/>
        <v>4281.4554130800007</v>
      </c>
      <c r="F11" s="185">
        <f t="shared" si="0"/>
        <v>4434.2736692899998</v>
      </c>
      <c r="G11" s="185">
        <f t="shared" si="0"/>
        <v>4397.7651563400004</v>
      </c>
      <c r="H11" s="185">
        <f t="shared" si="0"/>
        <v>4058.8408556599998</v>
      </c>
      <c r="I11" s="185">
        <f t="shared" si="0"/>
        <v>10593.270551959999</v>
      </c>
      <c r="J11" s="185">
        <f t="shared" si="0"/>
        <v>9083.947831219999</v>
      </c>
      <c r="K11" s="185">
        <f t="shared" si="0"/>
        <v>8797.3119948800013</v>
      </c>
      <c r="L11" s="185">
        <f t="shared" si="0"/>
        <v>3373.4501656900002</v>
      </c>
      <c r="M11" s="185">
        <f t="shared" si="0"/>
        <v>3281.6040172500007</v>
      </c>
      <c r="N11" s="185">
        <f t="shared" si="0"/>
        <v>10294.992643129999</v>
      </c>
      <c r="O11" s="185">
        <f t="shared" si="0"/>
        <v>2139.3832559299999</v>
      </c>
      <c r="P11" s="185">
        <f t="shared" si="0"/>
        <v>2123.9922000099996</v>
      </c>
      <c r="Q11" s="185">
        <f t="shared" si="0"/>
        <v>12514.212481320001</v>
      </c>
      <c r="R11" s="185">
        <f t="shared" si="0"/>
        <v>1258.24373253</v>
      </c>
      <c r="S11" s="185">
        <f t="shared" si="0"/>
        <v>3033.1095101700002</v>
      </c>
      <c r="T11" s="185">
        <f t="shared" si="0"/>
        <v>3148.7565004200001</v>
      </c>
      <c r="U11" s="185">
        <f t="shared" si="0"/>
        <v>2867.21119344</v>
      </c>
      <c r="V11" s="185">
        <f t="shared" si="0"/>
        <v>818.57845169999996</v>
      </c>
      <c r="W11" s="185">
        <f t="shared" si="0"/>
        <v>816.8523621999999</v>
      </c>
      <c r="X11" s="185">
        <f t="shared" si="0"/>
        <v>820.45315219000008</v>
      </c>
      <c r="Y11" s="185">
        <f t="shared" si="0"/>
        <v>819.75187363000009</v>
      </c>
      <c r="Z11" s="185">
        <f t="shared" si="0"/>
        <v>838.76429277</v>
      </c>
      <c r="AA11" s="185">
        <f t="shared" si="0"/>
        <v>858.38508404000004</v>
      </c>
      <c r="AB11" s="185">
        <f t="shared" si="0"/>
        <v>880.34532216999992</v>
      </c>
      <c r="AC11" s="185">
        <f t="shared" si="0"/>
        <v>902.98438614000008</v>
      </c>
      <c r="AD11" s="185">
        <f t="shared" si="0"/>
        <v>926.37003999000001</v>
      </c>
      <c r="AE11" s="185">
        <f t="shared" si="0"/>
        <v>950.52137463999998</v>
      </c>
      <c r="AF11" s="185">
        <f t="shared" si="0"/>
        <v>961.80988909999996</v>
      </c>
      <c r="AG11" s="185">
        <f t="shared" si="0"/>
        <v>961.80955500000005</v>
      </c>
      <c r="AH11" s="185">
        <f t="shared" si="0"/>
        <v>18059.8346695</v>
      </c>
      <c r="AI11" s="185">
        <f t="shared" si="0"/>
        <v>4.4955540000000002E-2</v>
      </c>
      <c r="AJ11" s="185">
        <f t="shared" si="0"/>
        <v>2.2352449999999999E-2</v>
      </c>
      <c r="AK11" s="185">
        <f t="shared" si="0"/>
        <v>0</v>
      </c>
      <c r="AL11" s="185">
        <f t="shared" si="0"/>
        <v>0</v>
      </c>
      <c r="AM11" s="185">
        <f t="shared" si="0"/>
        <v>0</v>
      </c>
      <c r="AN11" s="185">
        <f t="shared" si="0"/>
        <v>0</v>
      </c>
      <c r="AO11" s="185">
        <f t="shared" si="0"/>
        <v>0</v>
      </c>
      <c r="AP11" s="185">
        <f t="shared" si="0"/>
        <v>0</v>
      </c>
      <c r="AQ11" s="185">
        <f t="shared" si="0"/>
        <v>0</v>
      </c>
      <c r="AR11" s="185">
        <f t="shared" si="0"/>
        <v>0</v>
      </c>
      <c r="AS11" s="185">
        <f t="shared" si="0"/>
        <v>0</v>
      </c>
      <c r="AT11" s="185">
        <f t="shared" si="0"/>
        <v>0</v>
      </c>
      <c r="AU11" s="185">
        <f t="shared" si="0"/>
        <v>0</v>
      </c>
      <c r="AV11" s="185">
        <f t="shared" si="0"/>
        <v>0</v>
      </c>
      <c r="AW11" s="185">
        <f t="shared" si="0"/>
        <v>0</v>
      </c>
    </row>
  </sheetData>
  <mergeCells count="8">
    <mergeCell ref="A1:AW1"/>
    <mergeCell ref="A2:AW2"/>
    <mergeCell ref="A3:B3"/>
    <mergeCell ref="A4:B4"/>
    <mergeCell ref="A5:B5"/>
    <mergeCell ref="C3:E3"/>
    <mergeCell ref="C4:E4"/>
    <mergeCell ref="C5:E5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>
    <tabColor theme="1"/>
  </sheetPr>
  <dimension ref="A1"/>
  <sheetViews>
    <sheetView workbookViewId="0">
      <selection activeCell="H15" sqref="A15:H15"/>
    </sheetView>
  </sheetViews>
  <sheetFormatPr defaultColWidth="10.84375" defaultRowHeight="14.6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4">
    <tabColor theme="1"/>
  </sheetPr>
  <dimension ref="A1:AU59"/>
  <sheetViews>
    <sheetView workbookViewId="0">
      <pane xSplit="1" ySplit="2" topLeftCell="B15" activePane="bottomRight" state="frozen"/>
      <selection activeCell="S2" sqref="S2"/>
      <selection pane="topRight" activeCell="S2" sqref="S2"/>
      <selection pane="bottomLeft" activeCell="S2" sqref="S2"/>
      <selection pane="bottomRight" activeCell="A26" sqref="A26"/>
    </sheetView>
  </sheetViews>
  <sheetFormatPr defaultColWidth="11.4609375" defaultRowHeight="14.6"/>
  <cols>
    <col min="1" max="1" width="24.4609375" style="155" bestFit="1" customWidth="1"/>
    <col min="2" max="2" width="14.4609375" style="155" bestFit="1" customWidth="1"/>
    <col min="3" max="3" width="7.4609375" style="155" bestFit="1" customWidth="1"/>
    <col min="4" max="4" width="22.4609375" style="155" bestFit="1" customWidth="1"/>
    <col min="5" max="5" width="6.61328125" style="155" bestFit="1" customWidth="1"/>
    <col min="6" max="6" width="18.3828125" style="155" bestFit="1" customWidth="1"/>
    <col min="7" max="7" width="17.15234375" style="155" bestFit="1" customWidth="1"/>
    <col min="8" max="8" width="10.4609375" style="155" bestFit="1" customWidth="1"/>
    <col min="9" max="9" width="8.4609375" style="155" bestFit="1" customWidth="1"/>
    <col min="10" max="10" width="13.4609375" style="155" bestFit="1" customWidth="1"/>
    <col min="11" max="11" width="15.84375" style="155" bestFit="1" customWidth="1"/>
    <col min="12" max="12" width="12.4609375" style="155" bestFit="1" customWidth="1"/>
    <col min="13" max="13" width="8.3828125" style="155" bestFit="1" customWidth="1"/>
    <col min="14" max="14" width="10.61328125" style="155" bestFit="1" customWidth="1"/>
    <col min="15" max="15" width="11.3828125" style="155" bestFit="1" customWidth="1"/>
    <col min="16" max="16" width="17.4609375" style="155" bestFit="1" customWidth="1"/>
    <col min="17" max="17" width="11.3828125" style="155" bestFit="1" customWidth="1"/>
    <col min="18" max="18" width="17.4609375" style="155" bestFit="1" customWidth="1"/>
    <col min="19" max="19" width="14.3828125" style="155" bestFit="1" customWidth="1"/>
    <col min="20" max="20" width="20.4609375" style="155" bestFit="1" customWidth="1"/>
    <col min="21" max="21" width="11.84375" style="155" bestFit="1" customWidth="1"/>
    <col min="22" max="22" width="18" style="155" bestFit="1" customWidth="1"/>
    <col min="23" max="23" width="24.3828125" style="155" bestFit="1" customWidth="1"/>
    <col min="24" max="24" width="17.84375" style="155" bestFit="1" customWidth="1"/>
    <col min="25" max="26" width="12.15234375" style="155" bestFit="1" customWidth="1"/>
    <col min="27" max="27" width="13.3828125" style="155" bestFit="1" customWidth="1"/>
    <col min="28" max="29" width="14.4609375" style="155" bestFit="1" customWidth="1"/>
    <col min="30" max="30" width="15.4609375" style="155" bestFit="1" customWidth="1"/>
    <col min="31" max="32" width="16.3828125" style="155" bestFit="1" customWidth="1"/>
    <col min="33" max="33" width="14.3828125" style="155" bestFit="1" customWidth="1"/>
    <col min="34" max="34" width="13.4609375" style="112" bestFit="1" customWidth="1"/>
    <col min="35" max="35" width="17" style="1" bestFit="1" customWidth="1"/>
    <col min="36" max="36" width="12.61328125" style="1" bestFit="1" customWidth="1"/>
    <col min="37" max="37" width="15.84375" style="1" bestFit="1" customWidth="1"/>
    <col min="38" max="38" width="12" style="1" bestFit="1" customWidth="1"/>
    <col min="39" max="39" width="28.3828125" style="1" bestFit="1" customWidth="1"/>
    <col min="40" max="40" width="14.4609375" style="4" bestFit="1" customWidth="1"/>
    <col min="41" max="45" width="11.4609375" style="1"/>
    <col min="46" max="47" width="23.4609375" style="1" bestFit="1" customWidth="1"/>
    <col min="48" max="16384" width="11.4609375" style="1"/>
  </cols>
  <sheetData>
    <row r="1" spans="1:47" hidden="1">
      <c r="B1" s="155" t="s">
        <v>106</v>
      </c>
      <c r="D1" s="155" t="s">
        <v>319</v>
      </c>
      <c r="E1" s="155" t="s">
        <v>318</v>
      </c>
      <c r="F1" s="155" t="s">
        <v>320</v>
      </c>
      <c r="G1" s="155" t="s">
        <v>321</v>
      </c>
      <c r="H1" s="155" t="s">
        <v>322</v>
      </c>
      <c r="J1" s="155" t="s">
        <v>323</v>
      </c>
      <c r="L1" s="155" t="s">
        <v>324</v>
      </c>
      <c r="M1" s="155" t="s">
        <v>325</v>
      </c>
      <c r="N1" s="155" t="s">
        <v>326</v>
      </c>
      <c r="O1" s="155" t="s">
        <v>327</v>
      </c>
      <c r="P1" s="155" t="s">
        <v>330</v>
      </c>
      <c r="Q1" s="155" t="s">
        <v>328</v>
      </c>
      <c r="R1" s="155" t="s">
        <v>331</v>
      </c>
      <c r="S1" s="155" t="s">
        <v>96</v>
      </c>
      <c r="T1" s="155" t="s">
        <v>332</v>
      </c>
      <c r="U1" s="155" t="s">
        <v>329</v>
      </c>
      <c r="V1" s="155" t="s">
        <v>333</v>
      </c>
      <c r="W1" s="155" t="s">
        <v>334</v>
      </c>
      <c r="X1" s="155" t="s">
        <v>335</v>
      </c>
      <c r="Y1" s="155" t="s">
        <v>336</v>
      </c>
      <c r="Z1" s="155" t="s">
        <v>337</v>
      </c>
      <c r="AA1" s="155" t="s">
        <v>338</v>
      </c>
      <c r="AB1" s="155" t="s">
        <v>339</v>
      </c>
      <c r="AC1" s="155" t="s">
        <v>340</v>
      </c>
      <c r="AD1" s="155" t="s">
        <v>341</v>
      </c>
      <c r="AE1" s="155" t="s">
        <v>342</v>
      </c>
      <c r="AF1" s="155" t="s">
        <v>343</v>
      </c>
      <c r="AG1" s="155" t="s">
        <v>344</v>
      </c>
      <c r="AH1" s="173" t="s">
        <v>345</v>
      </c>
      <c r="AI1" s="155" t="s">
        <v>346</v>
      </c>
      <c r="AJ1" s="155" t="s">
        <v>347</v>
      </c>
      <c r="AK1" s="155" t="s">
        <v>348</v>
      </c>
      <c r="AL1" s="155" t="s">
        <v>349</v>
      </c>
      <c r="AM1" s="155" t="s">
        <v>350</v>
      </c>
      <c r="AN1" s="155" t="s">
        <v>351</v>
      </c>
    </row>
    <row r="2" spans="1:47">
      <c r="A2" s="155" t="s">
        <v>154</v>
      </c>
      <c r="B2" s="155" t="s">
        <v>106</v>
      </c>
      <c r="C2" s="155" t="s">
        <v>153</v>
      </c>
      <c r="D2" s="155" t="s">
        <v>65</v>
      </c>
      <c r="E2" s="176" t="s">
        <v>108</v>
      </c>
      <c r="F2" s="176" t="s">
        <v>67</v>
      </c>
      <c r="G2" s="176" t="s">
        <v>155</v>
      </c>
      <c r="H2" s="176" t="s">
        <v>112</v>
      </c>
      <c r="I2" s="176" t="s">
        <v>156</v>
      </c>
      <c r="J2" s="176" t="s">
        <v>113</v>
      </c>
      <c r="K2" s="116" t="s">
        <v>157</v>
      </c>
      <c r="L2" s="176" t="s">
        <v>107</v>
      </c>
      <c r="M2" s="176" t="s">
        <v>109</v>
      </c>
      <c r="N2" s="176" t="s">
        <v>158</v>
      </c>
      <c r="O2" s="176" t="s">
        <v>159</v>
      </c>
      <c r="P2" s="176" t="s">
        <v>160</v>
      </c>
      <c r="Q2" s="176" t="s">
        <v>161</v>
      </c>
      <c r="R2" s="176" t="s">
        <v>162</v>
      </c>
      <c r="S2" s="176" t="s">
        <v>163</v>
      </c>
      <c r="T2" s="176" t="s">
        <v>164</v>
      </c>
      <c r="U2" s="176" t="s">
        <v>165</v>
      </c>
      <c r="V2" s="176" t="s">
        <v>166</v>
      </c>
      <c r="W2" s="176" t="s">
        <v>167</v>
      </c>
      <c r="X2" s="176" t="s">
        <v>168</v>
      </c>
      <c r="Y2" s="176" t="s">
        <v>169</v>
      </c>
      <c r="Z2" s="176" t="s">
        <v>170</v>
      </c>
      <c r="AA2" s="176" t="s">
        <v>171</v>
      </c>
      <c r="AB2" s="176" t="s">
        <v>172</v>
      </c>
      <c r="AC2" s="176" t="s">
        <v>173</v>
      </c>
      <c r="AD2" s="176" t="s">
        <v>174</v>
      </c>
      <c r="AE2" s="176" t="s">
        <v>175</v>
      </c>
      <c r="AF2" s="176" t="s">
        <v>176</v>
      </c>
      <c r="AG2" s="176" t="s">
        <v>110</v>
      </c>
      <c r="AH2" s="174" t="s">
        <v>177</v>
      </c>
      <c r="AI2" s="176" t="s">
        <v>178</v>
      </c>
      <c r="AJ2" s="176" t="s">
        <v>179</v>
      </c>
      <c r="AK2" s="176" t="s">
        <v>180</v>
      </c>
      <c r="AL2" s="176" t="s">
        <v>181</v>
      </c>
      <c r="AM2" s="176" t="s">
        <v>182</v>
      </c>
      <c r="AN2" s="176" t="s">
        <v>183</v>
      </c>
      <c r="AT2" s="174" t="s">
        <v>571</v>
      </c>
      <c r="AU2" s="174" t="s">
        <v>572</v>
      </c>
    </row>
    <row r="3" spans="1:47">
      <c r="A3" s="155" t="s">
        <v>116</v>
      </c>
      <c r="B3" s="155" t="s">
        <v>128</v>
      </c>
      <c r="C3" s="155" t="s">
        <v>375</v>
      </c>
      <c r="D3" s="155" t="s">
        <v>184</v>
      </c>
      <c r="E3" s="176">
        <v>7.84</v>
      </c>
      <c r="F3" s="176" t="s">
        <v>185</v>
      </c>
      <c r="G3" s="116">
        <v>2</v>
      </c>
      <c r="H3" s="176" t="s">
        <v>186</v>
      </c>
      <c r="I3" s="176" t="s">
        <v>187</v>
      </c>
      <c r="J3" s="176" t="s">
        <v>188</v>
      </c>
      <c r="K3" s="116">
        <v>0</v>
      </c>
      <c r="L3" s="176" t="s">
        <v>140</v>
      </c>
      <c r="M3" s="176" t="s">
        <v>151</v>
      </c>
      <c r="N3" s="176" t="s">
        <v>189</v>
      </c>
      <c r="O3" s="176">
        <v>107.05500000000001</v>
      </c>
      <c r="P3" s="176">
        <v>3.1861000000000002</v>
      </c>
      <c r="Q3" s="176">
        <v>107.101</v>
      </c>
      <c r="R3" s="176">
        <v>3.1572</v>
      </c>
      <c r="S3" s="176">
        <v>107.078</v>
      </c>
      <c r="T3" s="176">
        <v>3.1716000000000002</v>
      </c>
      <c r="U3" s="176">
        <v>107.078</v>
      </c>
      <c r="V3" s="176">
        <v>3.1716000000000002</v>
      </c>
      <c r="W3" s="176" t="s">
        <v>190</v>
      </c>
      <c r="X3" s="176" t="s">
        <v>301</v>
      </c>
      <c r="Y3" s="176">
        <v>1.4878530342341361</v>
      </c>
      <c r="Z3" s="176">
        <v>1.4878207766747635</v>
      </c>
      <c r="AA3" s="176">
        <v>1.4878369084690954</v>
      </c>
      <c r="AB3" s="176">
        <v>1.4423164272287128</v>
      </c>
      <c r="AC3" s="176">
        <v>1.4418813868207292</v>
      </c>
      <c r="AD3" s="176">
        <v>1.442098915746358</v>
      </c>
      <c r="AE3" s="176">
        <v>3.5866984050007253E-2</v>
      </c>
      <c r="AF3" s="176">
        <v>3.5846035879568527E-2</v>
      </c>
      <c r="AG3" s="177">
        <v>1573592000</v>
      </c>
      <c r="AH3" s="175">
        <v>1573592000</v>
      </c>
      <c r="AI3" s="176">
        <v>3.344782608695652</v>
      </c>
      <c r="AJ3" s="176" t="s">
        <v>191</v>
      </c>
      <c r="AK3" s="176" t="s">
        <v>192</v>
      </c>
      <c r="AL3" s="176" t="s">
        <v>191</v>
      </c>
      <c r="AM3" s="176" t="s">
        <v>191</v>
      </c>
      <c r="AN3" s="176" t="s">
        <v>193</v>
      </c>
      <c r="AT3" s="208">
        <v>1573592000</v>
      </c>
      <c r="AU3" s="175">
        <v>4400890000</v>
      </c>
    </row>
    <row r="4" spans="1:47">
      <c r="A4" s="155" t="s">
        <v>117</v>
      </c>
      <c r="B4" s="155" t="s">
        <v>129</v>
      </c>
      <c r="C4" s="155" t="s">
        <v>374</v>
      </c>
      <c r="D4" s="155" t="s">
        <v>194</v>
      </c>
      <c r="E4" s="176">
        <v>5.2</v>
      </c>
      <c r="F4" s="176" t="s">
        <v>185</v>
      </c>
      <c r="G4" s="116">
        <v>2</v>
      </c>
      <c r="H4" s="176" t="s">
        <v>186</v>
      </c>
      <c r="I4" s="176" t="s">
        <v>187</v>
      </c>
      <c r="J4" s="176" t="s">
        <v>188</v>
      </c>
      <c r="K4" s="116">
        <v>0</v>
      </c>
      <c r="L4" s="176" t="s">
        <v>141</v>
      </c>
      <c r="M4" s="176" t="s">
        <v>151</v>
      </c>
      <c r="N4" s="176" t="s">
        <v>195</v>
      </c>
      <c r="O4" s="176">
        <v>102.105</v>
      </c>
      <c r="P4" s="176">
        <v>4.6722000000000001</v>
      </c>
      <c r="Q4" s="176">
        <v>102.23099999999999</v>
      </c>
      <c r="R4" s="176">
        <v>4.6420000000000003</v>
      </c>
      <c r="S4" s="176">
        <v>102.16800000000001</v>
      </c>
      <c r="T4" s="176">
        <v>4.6570999999999998</v>
      </c>
      <c r="U4" s="176">
        <v>102.16800000000001</v>
      </c>
      <c r="V4" s="176">
        <v>4.6570999999999998</v>
      </c>
      <c r="W4" s="176" t="s">
        <v>190</v>
      </c>
      <c r="X4" s="176">
        <v>5.2</v>
      </c>
      <c r="Y4" s="176">
        <v>4.1885502127875247</v>
      </c>
      <c r="Z4" s="176">
        <v>4.1881275449366635</v>
      </c>
      <c r="AA4" s="176">
        <v>4.188338988721175</v>
      </c>
      <c r="AB4" s="176">
        <v>4.0027444497671505</v>
      </c>
      <c r="AC4" s="176">
        <v>4.0011827176457695</v>
      </c>
      <c r="AD4" s="176">
        <v>4.0019638075836603</v>
      </c>
      <c r="AE4" s="176">
        <v>0.21180766750335667</v>
      </c>
      <c r="AF4" s="176">
        <v>0.21165918646716581</v>
      </c>
      <c r="AG4" s="177">
        <v>5738504000</v>
      </c>
      <c r="AH4" s="175">
        <v>5886504000</v>
      </c>
      <c r="AI4" s="176">
        <v>1.8099447513812155</v>
      </c>
      <c r="AJ4" s="176" t="s">
        <v>301</v>
      </c>
      <c r="AK4" s="176" t="s">
        <v>192</v>
      </c>
      <c r="AL4" s="176" t="s">
        <v>301</v>
      </c>
      <c r="AM4" s="176" t="s">
        <v>196</v>
      </c>
      <c r="AN4" s="176" t="s">
        <v>193</v>
      </c>
      <c r="AT4" s="208">
        <v>5886504000</v>
      </c>
      <c r="AU4" s="175">
        <v>5501504000</v>
      </c>
    </row>
    <row r="5" spans="1:47">
      <c r="A5" s="155" t="s">
        <v>118</v>
      </c>
      <c r="B5" s="155" t="s">
        <v>130</v>
      </c>
      <c r="C5" s="155" t="s">
        <v>357</v>
      </c>
      <c r="D5" s="155" t="s">
        <v>197</v>
      </c>
      <c r="E5" s="176">
        <v>5.7</v>
      </c>
      <c r="F5" s="176" t="s">
        <v>185</v>
      </c>
      <c r="G5" s="116">
        <v>2</v>
      </c>
      <c r="H5" s="176" t="s">
        <v>186</v>
      </c>
      <c r="I5" s="176" t="s">
        <v>187</v>
      </c>
      <c r="J5" s="176" t="s">
        <v>188</v>
      </c>
      <c r="K5" s="116">
        <v>0</v>
      </c>
      <c r="L5" s="176" t="s">
        <v>142</v>
      </c>
      <c r="M5" s="176" t="s">
        <v>151</v>
      </c>
      <c r="N5" s="176" t="s">
        <v>198</v>
      </c>
      <c r="O5" s="176">
        <v>103.67100000000001</v>
      </c>
      <c r="P5" s="176">
        <v>4.9267000000000003</v>
      </c>
      <c r="Q5" s="176">
        <v>103.77500000000001</v>
      </c>
      <c r="R5" s="176">
        <v>4.9054000000000002</v>
      </c>
      <c r="S5" s="176">
        <v>103.723</v>
      </c>
      <c r="T5" s="176">
        <v>4.9160000000000004</v>
      </c>
      <c r="U5" s="176">
        <v>103.72300000000001</v>
      </c>
      <c r="V5" s="176">
        <v>4.9160000000000004</v>
      </c>
      <c r="W5" s="176" t="s">
        <v>190</v>
      </c>
      <c r="X5" s="176" t="s">
        <v>301</v>
      </c>
      <c r="Y5" s="176">
        <v>4.8256024926806083</v>
      </c>
      <c r="Z5" s="176">
        <v>4.825073546214715</v>
      </c>
      <c r="AA5" s="176">
        <v>4.8253381302560348</v>
      </c>
      <c r="AB5" s="176">
        <v>4.5999568377630933</v>
      </c>
      <c r="AC5" s="176">
        <v>4.5985188802625254</v>
      </c>
      <c r="AD5" s="176">
        <v>4.5992380424901205</v>
      </c>
      <c r="AE5" s="176">
        <v>0.27911050764673428</v>
      </c>
      <c r="AF5" s="176">
        <v>0.27895990310055602</v>
      </c>
      <c r="AG5" s="177">
        <v>11030648000</v>
      </c>
      <c r="AH5" s="175">
        <v>11278348000</v>
      </c>
      <c r="AI5" s="176">
        <v>2.4317934782608699</v>
      </c>
      <c r="AJ5" s="176" t="s">
        <v>191</v>
      </c>
      <c r="AK5" s="176" t="s">
        <v>192</v>
      </c>
      <c r="AL5" s="176" t="s">
        <v>191</v>
      </c>
      <c r="AM5" s="176" t="s">
        <v>191</v>
      </c>
      <c r="AN5" s="176" t="s">
        <v>193</v>
      </c>
      <c r="AT5" s="208">
        <v>11278348000</v>
      </c>
      <c r="AU5" s="175">
        <v>10582148000</v>
      </c>
    </row>
    <row r="6" spans="1:47">
      <c r="A6" s="155" t="s">
        <v>119</v>
      </c>
      <c r="B6" s="155" t="s">
        <v>131</v>
      </c>
      <c r="C6" s="155" t="s">
        <v>373</v>
      </c>
      <c r="D6" s="155" t="s">
        <v>199</v>
      </c>
      <c r="E6" s="176">
        <v>8.1999999999999993</v>
      </c>
      <c r="F6" s="176" t="s">
        <v>185</v>
      </c>
      <c r="G6" s="116">
        <v>2</v>
      </c>
      <c r="H6" s="176" t="s">
        <v>186</v>
      </c>
      <c r="I6" s="176" t="s">
        <v>187</v>
      </c>
      <c r="J6" s="176" t="s">
        <v>188</v>
      </c>
      <c r="K6" s="116">
        <v>0</v>
      </c>
      <c r="L6" s="176" t="s">
        <v>143</v>
      </c>
      <c r="M6" s="176" t="s">
        <v>151</v>
      </c>
      <c r="N6" s="176" t="s">
        <v>200</v>
      </c>
      <c r="O6" s="176">
        <v>117.959</v>
      </c>
      <c r="P6" s="176">
        <v>5.2831000000000001</v>
      </c>
      <c r="Q6" s="176">
        <v>118.14400000000001</v>
      </c>
      <c r="R6" s="176">
        <v>5.2557999999999998</v>
      </c>
      <c r="S6" s="176">
        <v>118.05200000000001</v>
      </c>
      <c r="T6" s="176">
        <v>5.2694000000000001</v>
      </c>
      <c r="U6" s="176">
        <v>118.0515</v>
      </c>
      <c r="V6" s="176">
        <v>5.2694000000000001</v>
      </c>
      <c r="W6" s="176">
        <v>100</v>
      </c>
      <c r="X6" s="176" t="s">
        <v>301</v>
      </c>
      <c r="Y6" s="176">
        <v>5.8629412689622491</v>
      </c>
      <c r="Z6" s="176">
        <v>5.8612454146524966</v>
      </c>
      <c r="AA6" s="176">
        <v>5.8620938725442588</v>
      </c>
      <c r="AB6" s="176">
        <v>5.5701851886927267</v>
      </c>
      <c r="AC6" s="176">
        <v>5.5671284003359629</v>
      </c>
      <c r="AD6" s="176">
        <v>5.5686574745476145</v>
      </c>
      <c r="AE6" s="176">
        <v>0.42212618193002882</v>
      </c>
      <c r="AF6" s="176">
        <v>0.42175317279178209</v>
      </c>
      <c r="AG6" s="177">
        <v>12515340000</v>
      </c>
      <c r="AH6" s="175">
        <v>12515340000</v>
      </c>
      <c r="AI6" s="176">
        <v>3.498369565217391</v>
      </c>
      <c r="AJ6" s="176" t="s">
        <v>191</v>
      </c>
      <c r="AK6" s="176" t="s">
        <v>192</v>
      </c>
      <c r="AL6" s="176" t="s">
        <v>191</v>
      </c>
      <c r="AM6" s="176" t="s">
        <v>191</v>
      </c>
      <c r="AN6" s="176" t="s">
        <v>193</v>
      </c>
      <c r="AT6" s="208">
        <v>12515340000</v>
      </c>
      <c r="AU6" s="175">
        <v>12461840000</v>
      </c>
    </row>
    <row r="7" spans="1:47">
      <c r="A7" s="155" t="s">
        <v>120</v>
      </c>
      <c r="B7" s="155" t="s">
        <v>132</v>
      </c>
      <c r="C7" s="155" t="s">
        <v>372</v>
      </c>
      <c r="D7" s="155" t="s">
        <v>201</v>
      </c>
      <c r="E7" s="176">
        <v>6.35</v>
      </c>
      <c r="F7" s="176" t="s">
        <v>185</v>
      </c>
      <c r="G7" s="116">
        <v>2</v>
      </c>
      <c r="H7" s="176" t="s">
        <v>186</v>
      </c>
      <c r="I7" s="176" t="s">
        <v>187</v>
      </c>
      <c r="J7" s="176" t="s">
        <v>188</v>
      </c>
      <c r="K7" s="116">
        <v>0</v>
      </c>
      <c r="L7" s="176" t="s">
        <v>144</v>
      </c>
      <c r="M7" s="176" t="s">
        <v>151</v>
      </c>
      <c r="N7" s="176" t="s">
        <v>202</v>
      </c>
      <c r="O7" s="176">
        <v>105.661</v>
      </c>
      <c r="P7" s="176">
        <v>5.573474016663349</v>
      </c>
      <c r="Q7" s="176">
        <v>105.839</v>
      </c>
      <c r="R7" s="176">
        <v>5.5497727128240415</v>
      </c>
      <c r="S7" s="176">
        <v>105.75</v>
      </c>
      <c r="T7" s="176">
        <v>5.5620000000000003</v>
      </c>
      <c r="U7" s="176">
        <v>105.75</v>
      </c>
      <c r="V7" s="176">
        <v>5.5616168594658344</v>
      </c>
      <c r="W7" s="176">
        <v>99.850999999999999</v>
      </c>
      <c r="X7" s="176">
        <v>6.375</v>
      </c>
      <c r="Y7" s="176">
        <v>7.3107113768739787</v>
      </c>
      <c r="Z7" s="176">
        <v>7.3082988286492627</v>
      </c>
      <c r="AA7" s="176">
        <v>7.3095059131500157</v>
      </c>
      <c r="AB7" s="176">
        <v>6.9263165509268267</v>
      </c>
      <c r="AC7" s="176">
        <v>6.9224764049118495</v>
      </c>
      <c r="AD7" s="176">
        <v>6.9243974567774575</v>
      </c>
      <c r="AE7" s="176">
        <v>0.64177370354833396</v>
      </c>
      <c r="AF7" s="176">
        <v>0.64121653053448069</v>
      </c>
      <c r="AG7" s="177">
        <v>14246160000</v>
      </c>
      <c r="AH7" s="175">
        <v>14471160000</v>
      </c>
      <c r="AI7" s="176">
        <v>2.7091032608695653</v>
      </c>
      <c r="AJ7" s="176" t="s">
        <v>301</v>
      </c>
      <c r="AK7" s="176" t="s">
        <v>192</v>
      </c>
      <c r="AL7" s="176" t="s">
        <v>301</v>
      </c>
      <c r="AM7" s="176" t="s">
        <v>196</v>
      </c>
      <c r="AN7" s="176" t="s">
        <v>203</v>
      </c>
      <c r="AT7" s="208">
        <v>14471160000</v>
      </c>
      <c r="AU7" s="175">
        <v>13833660000</v>
      </c>
    </row>
    <row r="8" spans="1:47">
      <c r="A8" s="155" t="s">
        <v>121</v>
      </c>
      <c r="B8" s="155" t="s">
        <v>133</v>
      </c>
      <c r="C8" s="155" t="s">
        <v>298</v>
      </c>
      <c r="D8" s="155" t="s">
        <v>204</v>
      </c>
      <c r="E8" s="176">
        <v>6</v>
      </c>
      <c r="F8" s="155" t="s">
        <v>185</v>
      </c>
      <c r="G8" s="116">
        <v>2</v>
      </c>
      <c r="H8" s="176" t="s">
        <v>186</v>
      </c>
      <c r="I8" s="155" t="s">
        <v>187</v>
      </c>
      <c r="J8" s="176" t="s">
        <v>188</v>
      </c>
      <c r="K8" s="155">
        <v>0</v>
      </c>
      <c r="L8" s="176" t="s">
        <v>145</v>
      </c>
      <c r="M8" s="176" t="s">
        <v>151</v>
      </c>
      <c r="N8" s="176" t="s">
        <v>205</v>
      </c>
      <c r="O8" s="176">
        <v>102.953</v>
      </c>
      <c r="P8" s="176">
        <v>5.6058000000000003</v>
      </c>
      <c r="Q8" s="176">
        <v>103.423</v>
      </c>
      <c r="R8" s="176">
        <v>5.5446</v>
      </c>
      <c r="S8" s="176">
        <v>103.188</v>
      </c>
      <c r="T8" s="176">
        <v>5.5750999999999999</v>
      </c>
      <c r="U8" s="176">
        <v>103.188</v>
      </c>
      <c r="V8" s="176">
        <v>5.5750999999999999</v>
      </c>
      <c r="W8" s="176" t="s">
        <v>190</v>
      </c>
      <c r="X8" s="176">
        <v>6</v>
      </c>
      <c r="Y8" s="176">
        <v>7.6739152384339064</v>
      </c>
      <c r="Z8" s="176">
        <v>7.6669734521416935</v>
      </c>
      <c r="AA8" s="176">
        <v>7.6704506540543882</v>
      </c>
      <c r="AB8" s="176">
        <v>7.2707798193664024</v>
      </c>
      <c r="AC8" s="176">
        <v>7.2599947732849728</v>
      </c>
      <c r="AD8" s="176">
        <v>7.2653948296351887</v>
      </c>
      <c r="AE8" s="176">
        <v>0.70497267100693994</v>
      </c>
      <c r="AF8" s="176">
        <v>0.70334540492420994</v>
      </c>
      <c r="AG8" s="177">
        <v>1644823000</v>
      </c>
      <c r="AH8" s="175">
        <v>165264000</v>
      </c>
      <c r="AI8" s="176">
        <v>2.5597826086956523</v>
      </c>
      <c r="AJ8" s="176" t="s">
        <v>301</v>
      </c>
      <c r="AK8" s="176" t="s">
        <v>192</v>
      </c>
      <c r="AL8" s="176" t="s">
        <v>301</v>
      </c>
      <c r="AM8" s="176" t="s">
        <v>196</v>
      </c>
      <c r="AN8" s="176" t="s">
        <v>193</v>
      </c>
      <c r="AT8" s="208">
        <v>165264000</v>
      </c>
      <c r="AU8" s="175">
        <v>1644823000</v>
      </c>
    </row>
    <row r="9" spans="1:47">
      <c r="A9" s="155" t="s">
        <v>127</v>
      </c>
      <c r="B9" s="155" t="s">
        <v>134</v>
      </c>
      <c r="C9" s="155" t="s">
        <v>298</v>
      </c>
      <c r="D9" s="155" t="s">
        <v>299</v>
      </c>
      <c r="E9" s="176">
        <v>5.94</v>
      </c>
      <c r="F9" s="176" t="s">
        <v>185</v>
      </c>
      <c r="G9" s="116">
        <v>2</v>
      </c>
      <c r="H9" s="176" t="s">
        <v>186</v>
      </c>
      <c r="I9" s="176" t="s">
        <v>187</v>
      </c>
      <c r="J9" s="176" t="s">
        <v>188</v>
      </c>
      <c r="K9" s="116">
        <v>0</v>
      </c>
      <c r="L9" s="176" t="s">
        <v>145</v>
      </c>
      <c r="M9" s="176" t="s">
        <v>151</v>
      </c>
      <c r="N9" s="176" t="s">
        <v>300</v>
      </c>
      <c r="O9" s="176">
        <v>102.521</v>
      </c>
      <c r="P9" s="176">
        <v>5.60306652774476</v>
      </c>
      <c r="Q9" s="176">
        <v>102.71299999999999</v>
      </c>
      <c r="R9" s="176">
        <v>5.577965286603348</v>
      </c>
      <c r="S9" s="176">
        <v>102.617</v>
      </c>
      <c r="T9" s="176">
        <v>5.5910000000000002</v>
      </c>
      <c r="U9" s="176">
        <v>102.61699999999999</v>
      </c>
      <c r="V9" s="176">
        <v>5.5905082689072128</v>
      </c>
      <c r="W9" s="176">
        <v>99.911299999999997</v>
      </c>
      <c r="X9" s="176" t="s">
        <v>301</v>
      </c>
      <c r="Y9" s="176">
        <v>7.8219510417527305</v>
      </c>
      <c r="Z9" s="176">
        <v>7.819311380344006</v>
      </c>
      <c r="AA9" s="176">
        <v>7.8206321988753711</v>
      </c>
      <c r="AB9" s="176">
        <v>7.4086965215887215</v>
      </c>
      <c r="AC9" s="176">
        <v>7.4044359102864341</v>
      </c>
      <c r="AD9" s="176">
        <v>7.406567434033537</v>
      </c>
      <c r="AE9" s="176">
        <v>0.71863723188414186</v>
      </c>
      <c r="AF9" s="176">
        <v>0.71798111163096767</v>
      </c>
      <c r="AG9" s="177">
        <v>10350000000</v>
      </c>
      <c r="AH9" s="175">
        <v>12025000000</v>
      </c>
      <c r="AI9" s="176">
        <v>0.65660294117647056</v>
      </c>
      <c r="AJ9" s="176" t="s">
        <v>191</v>
      </c>
      <c r="AK9" s="176" t="s">
        <v>301</v>
      </c>
      <c r="AL9" s="176" t="s">
        <v>301</v>
      </c>
      <c r="AM9" s="176" t="s">
        <v>196</v>
      </c>
      <c r="AN9" s="176" t="s">
        <v>371</v>
      </c>
      <c r="AT9" s="208">
        <v>12025000000</v>
      </c>
      <c r="AU9" s="175">
        <v>10350000000</v>
      </c>
    </row>
    <row r="10" spans="1:47">
      <c r="A10" s="155" t="s">
        <v>122</v>
      </c>
      <c r="B10" s="155" t="s">
        <v>135</v>
      </c>
      <c r="C10" s="155" t="s">
        <v>370</v>
      </c>
      <c r="D10" s="155" t="s">
        <v>206</v>
      </c>
      <c r="E10" s="176">
        <v>6.95</v>
      </c>
      <c r="F10" s="176" t="s">
        <v>185</v>
      </c>
      <c r="G10" s="116">
        <v>2</v>
      </c>
      <c r="H10" s="176" t="s">
        <v>186</v>
      </c>
      <c r="I10" s="176" t="s">
        <v>187</v>
      </c>
      <c r="J10" s="176" t="s">
        <v>188</v>
      </c>
      <c r="K10" s="116">
        <v>0</v>
      </c>
      <c r="L10" s="176" t="s">
        <v>146</v>
      </c>
      <c r="M10" s="176" t="s">
        <v>151</v>
      </c>
      <c r="N10" s="176" t="s">
        <v>207</v>
      </c>
      <c r="O10" s="176">
        <v>109.53400000000001</v>
      </c>
      <c r="P10" s="176">
        <v>5.8662999999999998</v>
      </c>
      <c r="Q10" s="176">
        <v>109.748</v>
      </c>
      <c r="R10" s="176">
        <v>5.8430999999999997</v>
      </c>
      <c r="S10" s="176">
        <v>109.64100000000001</v>
      </c>
      <c r="T10" s="176">
        <v>5.8547000000000002</v>
      </c>
      <c r="U10" s="176">
        <v>109.64100000000001</v>
      </c>
      <c r="V10" s="176">
        <v>5.8547000000000002</v>
      </c>
      <c r="W10" s="176" t="s">
        <v>190</v>
      </c>
      <c r="X10" s="176" t="s">
        <v>301</v>
      </c>
      <c r="Y10" s="176">
        <v>8.676061276648861</v>
      </c>
      <c r="Z10" s="176">
        <v>8.6715546033194144</v>
      </c>
      <c r="AA10" s="176">
        <v>8.6738096250305308</v>
      </c>
      <c r="AB10" s="176">
        <v>8.1970960954865646</v>
      </c>
      <c r="AC10" s="176">
        <v>8.1910433606102053</v>
      </c>
      <c r="AD10" s="176">
        <v>8.1940715806128335</v>
      </c>
      <c r="AE10" s="176">
        <v>0.93292351550911734</v>
      </c>
      <c r="AF10" s="176">
        <v>0.93188185898975107</v>
      </c>
      <c r="AG10" s="177">
        <v>14123244000</v>
      </c>
      <c r="AH10" s="175">
        <v>14292244000</v>
      </c>
      <c r="AI10" s="176">
        <v>2.9650815217391306</v>
      </c>
      <c r="AJ10" s="176" t="s">
        <v>191</v>
      </c>
      <c r="AK10" s="176" t="s">
        <v>192</v>
      </c>
      <c r="AL10" s="176" t="s">
        <v>191</v>
      </c>
      <c r="AM10" s="176" t="s">
        <v>191</v>
      </c>
      <c r="AN10" s="176" t="s">
        <v>193</v>
      </c>
      <c r="AT10" s="208">
        <v>14292244000</v>
      </c>
      <c r="AU10" s="175">
        <v>13673244000</v>
      </c>
    </row>
    <row r="11" spans="1:47">
      <c r="A11" s="155" t="s">
        <v>123</v>
      </c>
      <c r="B11" s="178" t="s">
        <v>136</v>
      </c>
      <c r="C11" s="155" t="s">
        <v>369</v>
      </c>
      <c r="D11" s="155" t="s">
        <v>208</v>
      </c>
      <c r="E11" s="176">
        <v>6.15</v>
      </c>
      <c r="F11" s="176" t="s">
        <v>185</v>
      </c>
      <c r="G11" s="116">
        <v>2</v>
      </c>
      <c r="H11" s="176" t="s">
        <v>186</v>
      </c>
      <c r="I11" s="176" t="s">
        <v>187</v>
      </c>
      <c r="J11" s="176" t="s">
        <v>188</v>
      </c>
      <c r="K11" s="116">
        <v>0</v>
      </c>
      <c r="L11" s="176" t="s">
        <v>147</v>
      </c>
      <c r="M11" s="176" t="s">
        <v>151</v>
      </c>
      <c r="N11" s="176" t="s">
        <v>209</v>
      </c>
      <c r="O11" s="176">
        <v>101.949</v>
      </c>
      <c r="P11" s="176">
        <v>5.9381513707568168</v>
      </c>
      <c r="Q11" s="176">
        <v>102.26</v>
      </c>
      <c r="R11" s="176">
        <v>5.9044773857213517</v>
      </c>
      <c r="S11" s="176">
        <v>102.105</v>
      </c>
      <c r="T11" s="176">
        <v>5.9210000000000003</v>
      </c>
      <c r="U11" s="176">
        <v>102.1045</v>
      </c>
      <c r="V11" s="176">
        <v>5.9212970786451713</v>
      </c>
      <c r="W11" s="176">
        <v>99.995400000000004</v>
      </c>
      <c r="X11" s="176">
        <v>6.15</v>
      </c>
      <c r="Y11" s="176">
        <v>9.3446757282371884</v>
      </c>
      <c r="Z11" s="176">
        <v>9.3369938694386256</v>
      </c>
      <c r="AA11" s="176">
        <v>9.3408392873684161</v>
      </c>
      <c r="AB11" s="176">
        <v>8.8236833407924369</v>
      </c>
      <c r="AC11" s="176">
        <v>8.8136273369180298</v>
      </c>
      <c r="AD11" s="176">
        <v>8.818660217532047</v>
      </c>
      <c r="AE11" s="176">
        <v>1.0772358199375658</v>
      </c>
      <c r="AF11" s="176">
        <v>1.0753939182251226</v>
      </c>
      <c r="AG11" s="177">
        <v>11361500000</v>
      </c>
      <c r="AH11" s="175">
        <v>13113207000</v>
      </c>
      <c r="AI11" s="176">
        <v>2.6237771739130435</v>
      </c>
      <c r="AJ11" s="176" t="s">
        <v>301</v>
      </c>
      <c r="AK11" s="176" t="s">
        <v>192</v>
      </c>
      <c r="AL11" s="176" t="s">
        <v>301</v>
      </c>
      <c r="AM11" s="176" t="s">
        <v>196</v>
      </c>
      <c r="AN11" s="176" t="s">
        <v>210</v>
      </c>
      <c r="AT11" s="208">
        <v>13113207000</v>
      </c>
      <c r="AU11" s="175">
        <v>11143500000</v>
      </c>
    </row>
    <row r="12" spans="1:47">
      <c r="A12" s="155" t="s">
        <v>124</v>
      </c>
      <c r="B12" s="155" t="s">
        <v>137</v>
      </c>
      <c r="C12" s="155" t="s">
        <v>368</v>
      </c>
      <c r="D12" s="155" t="s">
        <v>211</v>
      </c>
      <c r="E12" s="176">
        <v>6.9</v>
      </c>
      <c r="F12" s="176" t="s">
        <v>185</v>
      </c>
      <c r="G12" s="116">
        <v>2</v>
      </c>
      <c r="H12" s="176" t="s">
        <v>186</v>
      </c>
      <c r="I12" s="176" t="s">
        <v>187</v>
      </c>
      <c r="J12" s="176" t="s">
        <v>188</v>
      </c>
      <c r="K12" s="116">
        <v>0</v>
      </c>
      <c r="L12" s="176" t="s">
        <v>148</v>
      </c>
      <c r="M12" s="176" t="s">
        <v>151</v>
      </c>
      <c r="N12" s="176" t="s">
        <v>212</v>
      </c>
      <c r="O12" s="176">
        <v>108.014</v>
      </c>
      <c r="P12" s="176">
        <v>6.1718000000000002</v>
      </c>
      <c r="Q12" s="176">
        <v>108.38</v>
      </c>
      <c r="R12" s="176">
        <v>6.1398000000000001</v>
      </c>
      <c r="S12" s="176">
        <v>108.197</v>
      </c>
      <c r="T12" s="176">
        <v>6.1558000000000002</v>
      </c>
      <c r="U12" s="176">
        <v>108.197</v>
      </c>
      <c r="V12" s="176">
        <v>6.1558000000000002</v>
      </c>
      <c r="W12" s="176">
        <v>100</v>
      </c>
      <c r="X12" s="176" t="s">
        <v>301</v>
      </c>
      <c r="Y12" s="176">
        <v>10.923924326247588</v>
      </c>
      <c r="Z12" s="176">
        <v>10.909920081077944</v>
      </c>
      <c r="AA12" s="176">
        <v>10.91693063217231</v>
      </c>
      <c r="AB12" s="176">
        <v>10.292015579681092</v>
      </c>
      <c r="AC12" s="176">
        <v>10.275721255371721</v>
      </c>
      <c r="AD12" s="176">
        <v>10.28387701985165</v>
      </c>
      <c r="AE12" s="176">
        <v>1.5682649420788886</v>
      </c>
      <c r="AF12" s="176">
        <v>1.5645807326708068</v>
      </c>
      <c r="AG12" s="177">
        <v>10125223000</v>
      </c>
      <c r="AH12" s="175">
        <v>11665414000</v>
      </c>
      <c r="AI12" s="176">
        <v>2.9437500000000001</v>
      </c>
      <c r="AJ12" s="176" t="s">
        <v>191</v>
      </c>
      <c r="AK12" s="176" t="s">
        <v>192</v>
      </c>
      <c r="AL12" s="176" t="s">
        <v>191</v>
      </c>
      <c r="AM12" s="176" t="s">
        <v>191</v>
      </c>
      <c r="AN12" s="176" t="s">
        <v>193</v>
      </c>
      <c r="AT12" s="208">
        <v>11665414000</v>
      </c>
      <c r="AU12" s="175">
        <v>9544723000</v>
      </c>
    </row>
    <row r="13" spans="1:47">
      <c r="A13" s="155" t="s">
        <v>125</v>
      </c>
      <c r="B13" s="155" t="s">
        <v>138</v>
      </c>
      <c r="C13" s="155" t="s">
        <v>367</v>
      </c>
      <c r="D13" s="155" t="s">
        <v>213</v>
      </c>
      <c r="E13" s="176">
        <v>6.85</v>
      </c>
      <c r="F13" s="176" t="s">
        <v>185</v>
      </c>
      <c r="G13" s="116">
        <v>2</v>
      </c>
      <c r="H13" s="176" t="s">
        <v>186</v>
      </c>
      <c r="I13" s="176" t="s">
        <v>187</v>
      </c>
      <c r="J13" s="176" t="s">
        <v>188</v>
      </c>
      <c r="K13" s="116">
        <v>0</v>
      </c>
      <c r="L13" s="176" t="s">
        <v>149</v>
      </c>
      <c r="M13" s="176" t="s">
        <v>151</v>
      </c>
      <c r="N13" s="176" t="s">
        <v>214</v>
      </c>
      <c r="O13" s="176">
        <v>106.643</v>
      </c>
      <c r="P13" s="176">
        <v>6.3041999999999998</v>
      </c>
      <c r="Q13" s="176">
        <v>107.461</v>
      </c>
      <c r="R13" s="176">
        <v>6.2389999999999999</v>
      </c>
      <c r="S13" s="176">
        <v>107.05200000000001</v>
      </c>
      <c r="T13" s="176">
        <v>6.2714999999999996</v>
      </c>
      <c r="U13" s="176">
        <v>107.05199999999999</v>
      </c>
      <c r="V13" s="176">
        <v>6.2714999999999996</v>
      </c>
      <c r="W13" s="176" t="s">
        <v>190</v>
      </c>
      <c r="X13" s="176" t="s">
        <v>301</v>
      </c>
      <c r="Y13" s="176">
        <v>12.14241017173719</v>
      </c>
      <c r="Z13" s="176">
        <v>12.099995360509132</v>
      </c>
      <c r="AA13" s="176">
        <v>12.121256893594046</v>
      </c>
      <c r="AB13" s="176">
        <v>11.429338923239941</v>
      </c>
      <c r="AC13" s="176">
        <v>11.382428019625133</v>
      </c>
      <c r="AD13" s="176">
        <v>11.405937313869357</v>
      </c>
      <c r="AE13" s="176">
        <v>2.0264937939227812</v>
      </c>
      <c r="AF13" s="176">
        <v>2.0140885395226213</v>
      </c>
      <c r="AG13" s="177">
        <v>4443473000</v>
      </c>
      <c r="AH13" s="175">
        <v>4443473000</v>
      </c>
      <c r="AI13" s="176">
        <v>2.9224184782608695</v>
      </c>
      <c r="AJ13" s="176" t="s">
        <v>191</v>
      </c>
      <c r="AK13" s="176" t="s">
        <v>192</v>
      </c>
      <c r="AL13" s="176" t="s">
        <v>301</v>
      </c>
      <c r="AM13" s="176" t="s">
        <v>191</v>
      </c>
      <c r="AN13" s="176" t="s">
        <v>193</v>
      </c>
      <c r="AT13" s="208">
        <v>4443473000</v>
      </c>
      <c r="AU13" s="175">
        <v>4443473000</v>
      </c>
    </row>
    <row r="14" spans="1:47">
      <c r="A14" s="155" t="s">
        <v>126</v>
      </c>
      <c r="B14" s="155" t="s">
        <v>139</v>
      </c>
      <c r="C14" s="155" t="s">
        <v>366</v>
      </c>
      <c r="D14" s="155" t="s">
        <v>215</v>
      </c>
      <c r="E14" s="176">
        <v>6.7141999999999999</v>
      </c>
      <c r="F14" s="176" t="s">
        <v>185</v>
      </c>
      <c r="G14" s="116">
        <v>2</v>
      </c>
      <c r="H14" s="176" t="s">
        <v>186</v>
      </c>
      <c r="I14" s="176" t="s">
        <v>187</v>
      </c>
      <c r="J14" s="176" t="s">
        <v>188</v>
      </c>
      <c r="K14" s="116">
        <v>0</v>
      </c>
      <c r="L14" s="176" t="s">
        <v>150</v>
      </c>
      <c r="M14" s="176" t="s">
        <v>151</v>
      </c>
      <c r="N14" s="176" t="s">
        <v>216</v>
      </c>
      <c r="O14" s="176">
        <v>104.93300000000001</v>
      </c>
      <c r="P14" s="176">
        <v>6.3690453224938048</v>
      </c>
      <c r="Q14" s="176">
        <v>105.80200000000001</v>
      </c>
      <c r="R14" s="176">
        <v>6.309189603359866</v>
      </c>
      <c r="S14" s="176">
        <v>105.36799999999999</v>
      </c>
      <c r="T14" s="176">
        <v>6.3390000000000004</v>
      </c>
      <c r="U14" s="176">
        <v>105.36750000000001</v>
      </c>
      <c r="V14" s="176">
        <v>6.3390133501117107</v>
      </c>
      <c r="W14" s="176" t="s">
        <v>190</v>
      </c>
      <c r="X14" s="176" t="s">
        <v>301</v>
      </c>
      <c r="Y14" s="176">
        <v>14.302423481687514</v>
      </c>
      <c r="Z14" s="176">
        <v>14.22648997016773</v>
      </c>
      <c r="AA14" s="176">
        <v>14.264540778408612</v>
      </c>
      <c r="AB14" s="176">
        <v>13.453609735009673</v>
      </c>
      <c r="AC14" s="176">
        <v>13.37465230324791</v>
      </c>
      <c r="AD14" s="176">
        <v>13.414212083615903</v>
      </c>
      <c r="AE14" s="176">
        <v>3.1328802518470225</v>
      </c>
      <c r="AF14" s="176">
        <v>3.1041760733162893</v>
      </c>
      <c r="AG14" s="177">
        <v>2271843000</v>
      </c>
      <c r="AH14" s="175">
        <v>2271843000</v>
      </c>
      <c r="AI14" s="176">
        <v>2.8644820652173912</v>
      </c>
      <c r="AJ14" s="176" t="s">
        <v>301</v>
      </c>
      <c r="AK14" s="176" t="s">
        <v>192</v>
      </c>
      <c r="AL14" s="176" t="s">
        <v>301</v>
      </c>
      <c r="AM14" s="176" t="s">
        <v>196</v>
      </c>
      <c r="AN14" s="176" t="s">
        <v>217</v>
      </c>
      <c r="AT14" s="208">
        <v>2271843000</v>
      </c>
      <c r="AU14" s="175">
        <v>2271843000</v>
      </c>
    </row>
    <row r="15" spans="1:47">
      <c r="A15" s="155" t="s">
        <v>219</v>
      </c>
      <c r="B15" s="155" t="s">
        <v>218</v>
      </c>
      <c r="C15" s="155" t="s">
        <v>365</v>
      </c>
      <c r="D15" s="155" t="s">
        <v>220</v>
      </c>
      <c r="E15" s="176">
        <v>7.125</v>
      </c>
      <c r="F15" s="176" t="s">
        <v>221</v>
      </c>
      <c r="G15" s="116">
        <v>2</v>
      </c>
      <c r="H15" s="176" t="s">
        <v>186</v>
      </c>
      <c r="I15" s="176" t="s">
        <v>187</v>
      </c>
      <c r="J15" s="179" t="s">
        <v>462</v>
      </c>
      <c r="K15" s="116">
        <v>0</v>
      </c>
      <c r="L15" s="176" t="s">
        <v>222</v>
      </c>
      <c r="M15" s="176" t="s">
        <v>223</v>
      </c>
      <c r="N15" s="176" t="s">
        <v>224</v>
      </c>
      <c r="O15" s="176">
        <v>101.25700000000001</v>
      </c>
      <c r="P15" s="176">
        <v>1.0561752356712975</v>
      </c>
      <c r="Q15" s="176">
        <v>101.443</v>
      </c>
      <c r="R15" s="176">
        <v>0.19184490122189146</v>
      </c>
      <c r="S15" s="176">
        <v>101.35</v>
      </c>
      <c r="T15" s="176">
        <v>0.62362147626672026</v>
      </c>
      <c r="U15" s="176">
        <v>101.35</v>
      </c>
      <c r="V15" s="176">
        <v>0.62362147626672026</v>
      </c>
      <c r="W15" s="176">
        <v>99.5</v>
      </c>
      <c r="X15" s="176" t="s">
        <v>301</v>
      </c>
      <c r="Y15" s="176">
        <v>0.20833333342409499</v>
      </c>
      <c r="Z15" s="176">
        <v>0.20833333342330007</v>
      </c>
      <c r="AA15" s="176">
        <v>0.20833333342331406</v>
      </c>
      <c r="AB15" s="176">
        <v>0.20825010067410901</v>
      </c>
      <c r="AC15" s="176">
        <v>0.20787593048606776</v>
      </c>
      <c r="AD15" s="176">
        <v>0.20806301557970505</v>
      </c>
      <c r="AE15" s="176">
        <v>8.673620071089239E-4</v>
      </c>
      <c r="AF15" s="176">
        <v>8.6424803319564173E-4</v>
      </c>
      <c r="AG15" s="177">
        <v>1000000000</v>
      </c>
      <c r="AH15" s="175">
        <v>149214000</v>
      </c>
      <c r="AI15" s="176">
        <v>2.078125</v>
      </c>
      <c r="AJ15" s="176" t="s">
        <v>225</v>
      </c>
      <c r="AK15" s="176" t="s">
        <v>192</v>
      </c>
      <c r="AL15" s="176" t="s">
        <v>225</v>
      </c>
      <c r="AM15" s="176" t="s">
        <v>225</v>
      </c>
      <c r="AN15" s="176" t="s">
        <v>190</v>
      </c>
      <c r="AT15" s="208">
        <v>149214000</v>
      </c>
      <c r="AU15" s="175">
        <v>395741000</v>
      </c>
    </row>
    <row r="16" spans="1:47">
      <c r="A16" s="155" t="s">
        <v>227</v>
      </c>
      <c r="B16" s="155" t="s">
        <v>226</v>
      </c>
      <c r="C16" s="155" t="s">
        <v>364</v>
      </c>
      <c r="D16" s="155" t="s">
        <v>228</v>
      </c>
      <c r="E16" s="176">
        <v>7.35</v>
      </c>
      <c r="F16" s="176" t="s">
        <v>221</v>
      </c>
      <c r="G16" s="116">
        <v>2</v>
      </c>
      <c r="H16" s="176" t="s">
        <v>186</v>
      </c>
      <c r="I16" s="176" t="s">
        <v>187</v>
      </c>
      <c r="J16" s="179" t="s">
        <v>463</v>
      </c>
      <c r="K16" s="116">
        <v>0</v>
      </c>
      <c r="L16" s="176" t="s">
        <v>229</v>
      </c>
      <c r="M16" s="176" t="s">
        <v>223</v>
      </c>
      <c r="N16" s="176" t="s">
        <v>230</v>
      </c>
      <c r="O16" s="176">
        <v>122.44</v>
      </c>
      <c r="P16" s="176">
        <v>3.4723819028328564</v>
      </c>
      <c r="Q16" s="176">
        <v>122.86</v>
      </c>
      <c r="R16" s="176">
        <v>3.4082434157898516</v>
      </c>
      <c r="S16" s="176">
        <v>122.65</v>
      </c>
      <c r="T16" s="176">
        <v>3.4402794814433819</v>
      </c>
      <c r="U16" s="176">
        <v>122.65</v>
      </c>
      <c r="V16" s="176">
        <v>3.4402794814433819</v>
      </c>
      <c r="W16" s="176">
        <v>100</v>
      </c>
      <c r="X16" s="176" t="s">
        <v>301</v>
      </c>
      <c r="Y16" s="176">
        <v>5.2793143040071824</v>
      </c>
      <c r="Z16" s="176">
        <v>5.2767015623205129</v>
      </c>
      <c r="AA16" s="176">
        <v>5.2780097645956765</v>
      </c>
      <c r="AB16" s="176">
        <v>5.1908558034353174</v>
      </c>
      <c r="AC16" s="176">
        <v>5.1866513902023055</v>
      </c>
      <c r="AD16" s="176">
        <v>5.1887559121025539</v>
      </c>
      <c r="AE16" s="176">
        <v>0.33499315354387227</v>
      </c>
      <c r="AF16" s="176">
        <v>0.33457435299335336</v>
      </c>
      <c r="AG16" s="177">
        <v>2250000000</v>
      </c>
      <c r="AH16" s="175">
        <v>1792780000</v>
      </c>
      <c r="AI16" s="176">
        <v>3.5524999999999998</v>
      </c>
      <c r="AJ16" s="176" t="s">
        <v>225</v>
      </c>
      <c r="AK16" s="176" t="s">
        <v>192</v>
      </c>
      <c r="AL16" s="176" t="s">
        <v>225</v>
      </c>
      <c r="AM16" s="176" t="s">
        <v>225</v>
      </c>
      <c r="AN16" s="176" t="s">
        <v>231</v>
      </c>
      <c r="AT16" s="208">
        <v>1792780000</v>
      </c>
      <c r="AU16" s="175">
        <v>1792780000</v>
      </c>
    </row>
    <row r="17" spans="1:47">
      <c r="A17" s="155" t="s">
        <v>233</v>
      </c>
      <c r="B17" s="155" t="s">
        <v>232</v>
      </c>
      <c r="C17" s="155" t="s">
        <v>363</v>
      </c>
      <c r="D17" s="155" t="s">
        <v>234</v>
      </c>
      <c r="E17" s="176">
        <v>2.75</v>
      </c>
      <c r="F17" s="176" t="s">
        <v>235</v>
      </c>
      <c r="G17" s="116">
        <v>1</v>
      </c>
      <c r="H17" s="176" t="s">
        <v>236</v>
      </c>
      <c r="I17" s="176" t="s">
        <v>187</v>
      </c>
      <c r="J17" s="176" t="s">
        <v>237</v>
      </c>
      <c r="K17" s="116">
        <v>1</v>
      </c>
      <c r="L17" s="176" t="s">
        <v>238</v>
      </c>
      <c r="M17" s="176" t="s">
        <v>239</v>
      </c>
      <c r="N17" s="176" t="s">
        <v>240</v>
      </c>
      <c r="O17" s="176">
        <v>108.625</v>
      </c>
      <c r="P17" s="176">
        <v>1.4523640030684328</v>
      </c>
      <c r="Q17" s="176">
        <v>109.27500000000001</v>
      </c>
      <c r="R17" s="176">
        <v>1.3596364318430081</v>
      </c>
      <c r="S17" s="176">
        <v>108.95</v>
      </c>
      <c r="T17" s="176">
        <v>1.4059172219924958</v>
      </c>
      <c r="U17" s="176">
        <v>108.95</v>
      </c>
      <c r="V17" s="176">
        <v>1.4059172219924958</v>
      </c>
      <c r="W17" s="176">
        <v>99.998000000000005</v>
      </c>
      <c r="X17" s="176">
        <v>2.7510000000000003</v>
      </c>
      <c r="Y17" s="176">
        <v>6.3715801289540179</v>
      </c>
      <c r="Z17" s="176">
        <v>6.3688989269411111</v>
      </c>
      <c r="AA17" s="176">
        <v>6.3702429626778576</v>
      </c>
      <c r="AB17" s="176">
        <v>6.2861118639076112</v>
      </c>
      <c r="AC17" s="176">
        <v>6.2777235303665391</v>
      </c>
      <c r="AD17" s="176">
        <v>6.2819243083359808</v>
      </c>
      <c r="AE17" s="176">
        <v>0.48565277244222038</v>
      </c>
      <c r="AF17" s="176">
        <v>0.4845214746354205</v>
      </c>
      <c r="AG17" s="177">
        <v>1100000000</v>
      </c>
      <c r="AH17" s="175">
        <v>1100000000</v>
      </c>
      <c r="AI17" s="176">
        <v>2.6369863013698631</v>
      </c>
      <c r="AJ17" s="176" t="s">
        <v>225</v>
      </c>
      <c r="AK17" s="176" t="s">
        <v>192</v>
      </c>
      <c r="AL17" s="176" t="s">
        <v>225</v>
      </c>
      <c r="AM17" s="176" t="s">
        <v>225</v>
      </c>
      <c r="AN17" s="176" t="s">
        <v>190</v>
      </c>
      <c r="AT17" s="208">
        <v>1100000000</v>
      </c>
      <c r="AU17" s="175">
        <v>1100000000</v>
      </c>
    </row>
    <row r="18" spans="1:47">
      <c r="A18" s="155" t="s">
        <v>242</v>
      </c>
      <c r="B18" s="155" t="s">
        <v>241</v>
      </c>
      <c r="C18" s="155" t="s">
        <v>362</v>
      </c>
      <c r="D18" s="155" t="s">
        <v>243</v>
      </c>
      <c r="E18" s="176">
        <v>4.125</v>
      </c>
      <c r="F18" s="176" t="s">
        <v>221</v>
      </c>
      <c r="G18" s="116">
        <v>2</v>
      </c>
      <c r="H18" s="176" t="s">
        <v>186</v>
      </c>
      <c r="I18" s="176" t="s">
        <v>187</v>
      </c>
      <c r="J18" s="179" t="s">
        <v>463</v>
      </c>
      <c r="K18" s="116">
        <v>0</v>
      </c>
      <c r="L18" s="176" t="s">
        <v>244</v>
      </c>
      <c r="M18" s="176" t="s">
        <v>223</v>
      </c>
      <c r="N18" s="176" t="s">
        <v>245</v>
      </c>
      <c r="O18" s="176">
        <v>104.446</v>
      </c>
      <c r="P18" s="176">
        <v>3.5215354652870756</v>
      </c>
      <c r="Q18" s="176">
        <v>104.795</v>
      </c>
      <c r="R18" s="176">
        <v>3.4754814869599295</v>
      </c>
      <c r="S18" s="176">
        <v>104.62</v>
      </c>
      <c r="T18" s="176">
        <v>3.4985519947532393</v>
      </c>
      <c r="U18" s="176">
        <v>104.62049999999999</v>
      </c>
      <c r="V18" s="176">
        <v>3.4984860147373698</v>
      </c>
      <c r="W18" s="176">
        <v>99.766000000000005</v>
      </c>
      <c r="X18" s="176" t="s">
        <v>301</v>
      </c>
      <c r="Y18" s="176">
        <v>7.260210607919908</v>
      </c>
      <c r="Z18" s="176">
        <v>7.257380050649755</v>
      </c>
      <c r="AA18" s="176">
        <v>7.2587972962131468</v>
      </c>
      <c r="AB18" s="176">
        <v>7.13620191916824</v>
      </c>
      <c r="AC18" s="176">
        <v>7.1318055190771243</v>
      </c>
      <c r="AD18" s="176">
        <v>7.1340061922752067</v>
      </c>
      <c r="AE18" s="176">
        <v>0.60468726760293834</v>
      </c>
      <c r="AF18" s="176">
        <v>0.60411648836641807</v>
      </c>
      <c r="AG18" s="177">
        <v>1250000000</v>
      </c>
      <c r="AH18" s="175">
        <v>1250000000</v>
      </c>
      <c r="AI18" s="176">
        <v>1.604166666666667</v>
      </c>
      <c r="AJ18" s="176" t="s">
        <v>225</v>
      </c>
      <c r="AK18" s="176" t="s">
        <v>192</v>
      </c>
      <c r="AL18" s="176" t="s">
        <v>225</v>
      </c>
      <c r="AM18" s="176" t="s">
        <v>225</v>
      </c>
      <c r="AN18" s="176" t="s">
        <v>190</v>
      </c>
      <c r="AT18" s="208">
        <v>1250000000</v>
      </c>
      <c r="AU18" s="175">
        <v>1250000000</v>
      </c>
    </row>
    <row r="19" spans="1:47">
      <c r="A19" s="155" t="s">
        <v>247</v>
      </c>
      <c r="B19" s="155" t="s">
        <v>246</v>
      </c>
      <c r="C19" s="155" t="s">
        <v>361</v>
      </c>
      <c r="D19" s="155" t="s">
        <v>248</v>
      </c>
      <c r="E19" s="176">
        <v>3.75</v>
      </c>
      <c r="F19" s="176" t="s">
        <v>221</v>
      </c>
      <c r="G19" s="116">
        <v>1</v>
      </c>
      <c r="H19" s="176" t="s">
        <v>236</v>
      </c>
      <c r="I19" s="176" t="s">
        <v>187</v>
      </c>
      <c r="J19" s="176" t="s">
        <v>464</v>
      </c>
      <c r="K19" s="116">
        <v>1</v>
      </c>
      <c r="L19" s="176" t="s">
        <v>249</v>
      </c>
      <c r="M19" s="176" t="s">
        <v>239</v>
      </c>
      <c r="N19" s="176" t="s">
        <v>250</v>
      </c>
      <c r="O19" s="176">
        <v>117.45</v>
      </c>
      <c r="P19" s="176">
        <v>1.9857250653870751</v>
      </c>
      <c r="Q19" s="176">
        <v>118.262</v>
      </c>
      <c r="R19" s="176">
        <v>1.9115257107337493</v>
      </c>
      <c r="S19" s="176">
        <v>117.85599999999999</v>
      </c>
      <c r="T19" s="176">
        <v>1.9485482076104743</v>
      </c>
      <c r="U19" s="176">
        <v>117.85599999999999</v>
      </c>
      <c r="V19" s="176">
        <v>1.9485482076104743</v>
      </c>
      <c r="W19" s="176">
        <v>99.753</v>
      </c>
      <c r="X19" s="176" t="s">
        <v>301</v>
      </c>
      <c r="Y19" s="176">
        <v>9.2136460933948641</v>
      </c>
      <c r="Z19" s="176">
        <v>9.2054421075631918</v>
      </c>
      <c r="AA19" s="176">
        <v>9.2095557431557555</v>
      </c>
      <c r="AB19" s="176">
        <v>9.0408283345557443</v>
      </c>
      <c r="AC19" s="176">
        <v>9.0262064633638435</v>
      </c>
      <c r="AD19" s="176">
        <v>9.0335329977061711</v>
      </c>
      <c r="AE19" s="176">
        <v>1.0144064409741427</v>
      </c>
      <c r="AF19" s="176">
        <v>1.0118066327030655</v>
      </c>
      <c r="AG19" s="177">
        <v>1000000000</v>
      </c>
      <c r="AH19" s="175">
        <v>1000000000</v>
      </c>
      <c r="AI19" s="176">
        <v>3.2876712328767121</v>
      </c>
      <c r="AJ19" s="176" t="s">
        <v>225</v>
      </c>
      <c r="AK19" s="176" t="s">
        <v>192</v>
      </c>
      <c r="AL19" s="176" t="s">
        <v>225</v>
      </c>
      <c r="AM19" s="176" t="s">
        <v>225</v>
      </c>
      <c r="AN19" s="176" t="s">
        <v>190</v>
      </c>
      <c r="AT19" s="208">
        <v>1000000000</v>
      </c>
      <c r="AU19" s="175">
        <v>1000000000</v>
      </c>
    </row>
    <row r="20" spans="1:47">
      <c r="A20" s="155" t="s">
        <v>252</v>
      </c>
      <c r="B20" s="155" t="s">
        <v>251</v>
      </c>
      <c r="C20" s="155" t="s">
        <v>360</v>
      </c>
      <c r="D20" s="155" t="s">
        <v>253</v>
      </c>
      <c r="E20" s="176">
        <v>8.75</v>
      </c>
      <c r="F20" s="176" t="s">
        <v>221</v>
      </c>
      <c r="G20" s="116">
        <v>2</v>
      </c>
      <c r="H20" s="176" t="s">
        <v>186</v>
      </c>
      <c r="I20" s="176" t="s">
        <v>187</v>
      </c>
      <c r="J20" s="179" t="s">
        <v>463</v>
      </c>
      <c r="K20" s="116">
        <v>0</v>
      </c>
      <c r="L20" s="176" t="s">
        <v>254</v>
      </c>
      <c r="M20" s="176" t="s">
        <v>223</v>
      </c>
      <c r="N20" s="176" t="s">
        <v>255</v>
      </c>
      <c r="O20" s="176">
        <v>149.452</v>
      </c>
      <c r="P20" s="176">
        <v>4.2302705113112617</v>
      </c>
      <c r="Q20" s="176">
        <v>149.92699999999999</v>
      </c>
      <c r="R20" s="176">
        <v>4.1971082574329479</v>
      </c>
      <c r="S20" s="176">
        <v>149.68899999999999</v>
      </c>
      <c r="T20" s="176">
        <v>4.2137068821884549</v>
      </c>
      <c r="U20" s="176">
        <v>149.68950000000001</v>
      </c>
      <c r="V20" s="176">
        <v>4.2136719745239288</v>
      </c>
      <c r="W20" s="176">
        <v>99.099000000000004</v>
      </c>
      <c r="X20" s="176" t="s">
        <v>301</v>
      </c>
      <c r="Y20" s="176">
        <v>9.689822363338557</v>
      </c>
      <c r="Z20" s="176">
        <v>9.6811841133531509</v>
      </c>
      <c r="AA20" s="176">
        <v>9.6855083397669883</v>
      </c>
      <c r="AB20" s="176">
        <v>9.49065581193498</v>
      </c>
      <c r="AC20" s="176">
        <v>9.4806554284548632</v>
      </c>
      <c r="AD20" s="176">
        <v>9.485661018589381</v>
      </c>
      <c r="AE20" s="176">
        <v>1.2022663751260239</v>
      </c>
      <c r="AF20" s="176">
        <v>1.2004056563699055</v>
      </c>
      <c r="AG20" s="177">
        <v>2245439000</v>
      </c>
      <c r="AH20" s="175">
        <v>2188329000</v>
      </c>
      <c r="AI20" s="176">
        <v>1.3125</v>
      </c>
      <c r="AJ20" s="176" t="s">
        <v>225</v>
      </c>
      <c r="AK20" s="176" t="s">
        <v>192</v>
      </c>
      <c r="AL20" s="176" t="s">
        <v>225</v>
      </c>
      <c r="AM20" s="176" t="s">
        <v>225</v>
      </c>
      <c r="AN20" s="176" t="s">
        <v>256</v>
      </c>
      <c r="AT20" s="208">
        <v>2188329000</v>
      </c>
      <c r="AU20" s="175">
        <v>2188329000</v>
      </c>
    </row>
    <row r="21" spans="1:47">
      <c r="A21" s="155" t="s">
        <v>258</v>
      </c>
      <c r="B21" s="155" t="s">
        <v>257</v>
      </c>
      <c r="C21" s="155" t="s">
        <v>359</v>
      </c>
      <c r="D21" s="155" t="s">
        <v>259</v>
      </c>
      <c r="E21" s="176">
        <v>6.55</v>
      </c>
      <c r="F21" s="176" t="s">
        <v>221</v>
      </c>
      <c r="G21" s="116">
        <v>2</v>
      </c>
      <c r="H21" s="176" t="s">
        <v>186</v>
      </c>
      <c r="I21" s="176" t="s">
        <v>187</v>
      </c>
      <c r="J21" s="179" t="s">
        <v>463</v>
      </c>
      <c r="K21" s="116">
        <v>0</v>
      </c>
      <c r="L21" s="176" t="s">
        <v>260</v>
      </c>
      <c r="M21" s="176" t="s">
        <v>223</v>
      </c>
      <c r="N21" s="176" t="s">
        <v>261</v>
      </c>
      <c r="O21" s="176">
        <v>128.03700000000001</v>
      </c>
      <c r="P21" s="176">
        <v>4.3081596612100759</v>
      </c>
      <c r="Q21" s="176">
        <v>128.595</v>
      </c>
      <c r="R21" s="176">
        <v>4.2704514442747952</v>
      </c>
      <c r="S21" s="176">
        <v>128.316</v>
      </c>
      <c r="T21" s="176">
        <v>4.2138559567065581</v>
      </c>
      <c r="U21" s="176">
        <v>128.316</v>
      </c>
      <c r="V21" s="176">
        <v>4.2892782749029106</v>
      </c>
      <c r="W21" s="176">
        <v>100</v>
      </c>
      <c r="X21" s="176">
        <v>6.5500000000000007</v>
      </c>
      <c r="Y21" s="176">
        <v>11.190920446287237</v>
      </c>
      <c r="Z21" s="176">
        <v>11.176822842557126</v>
      </c>
      <c r="AA21" s="176">
        <v>11.183883150738442</v>
      </c>
      <c r="AB21" s="176">
        <v>10.96102249232197</v>
      </c>
      <c r="AC21" s="176">
        <v>10.94512228529887</v>
      </c>
      <c r="AD21" s="176">
        <v>10.953084396592374</v>
      </c>
      <c r="AE21" s="176">
        <v>1.6087295013157654</v>
      </c>
      <c r="AF21" s="176">
        <v>1.6053745460679623</v>
      </c>
      <c r="AG21" s="177">
        <v>1201667000</v>
      </c>
      <c r="AH21" s="175">
        <v>1164563000</v>
      </c>
      <c r="AI21" s="176">
        <v>2.2015277777777778</v>
      </c>
      <c r="AJ21" s="176" t="s">
        <v>225</v>
      </c>
      <c r="AK21" s="176" t="s">
        <v>192</v>
      </c>
      <c r="AL21" s="176" t="s">
        <v>225</v>
      </c>
      <c r="AM21" s="176" t="s">
        <v>225</v>
      </c>
      <c r="AN21" s="176" t="s">
        <v>190</v>
      </c>
      <c r="AT21" s="208">
        <v>1164563000</v>
      </c>
      <c r="AU21" s="175">
        <v>1164563000</v>
      </c>
    </row>
    <row r="22" spans="1:47">
      <c r="A22" s="155" t="s">
        <v>263</v>
      </c>
      <c r="B22" s="155" t="s">
        <v>262</v>
      </c>
      <c r="C22" s="155" t="s">
        <v>358</v>
      </c>
      <c r="D22" s="155" t="s">
        <v>264</v>
      </c>
      <c r="E22" s="176">
        <v>5.625</v>
      </c>
      <c r="F22" s="176" t="s">
        <v>221</v>
      </c>
      <c r="G22" s="116">
        <v>2</v>
      </c>
      <c r="H22" s="176" t="s">
        <v>186</v>
      </c>
      <c r="I22" s="176" t="s">
        <v>187</v>
      </c>
      <c r="J22" s="179" t="s">
        <v>463</v>
      </c>
      <c r="K22" s="116">
        <v>0</v>
      </c>
      <c r="L22" s="176" t="s">
        <v>265</v>
      </c>
      <c r="M22" s="176" t="s">
        <v>223</v>
      </c>
      <c r="N22" s="176" t="s">
        <v>266</v>
      </c>
      <c r="O22" s="176">
        <v>119.283</v>
      </c>
      <c r="P22" s="176">
        <v>4.4817277015478458</v>
      </c>
      <c r="Q22" s="176">
        <v>119.8</v>
      </c>
      <c r="R22" s="176">
        <v>4.4549434528544243</v>
      </c>
      <c r="S22" s="176">
        <v>119.542</v>
      </c>
      <c r="T22" s="176">
        <v>4.4682882977862777</v>
      </c>
      <c r="U22" s="176">
        <v>119.5415</v>
      </c>
      <c r="V22" s="176">
        <v>4.4683142011539321</v>
      </c>
      <c r="W22" s="176">
        <v>96.164000000000001</v>
      </c>
      <c r="X22" s="176" t="s">
        <v>301</v>
      </c>
      <c r="Y22" s="176">
        <v>16.40180106419988</v>
      </c>
      <c r="Z22" s="176">
        <v>16.369672042186089</v>
      </c>
      <c r="AA22" s="176">
        <v>16.385759676632727</v>
      </c>
      <c r="AB22" s="176">
        <v>16.044416225328277</v>
      </c>
      <c r="AC22" s="176">
        <v>16.01088980058152</v>
      </c>
      <c r="AD22" s="176">
        <v>16.027676210608409</v>
      </c>
      <c r="AE22" s="176">
        <v>3.8264863439660606</v>
      </c>
      <c r="AF22" s="176">
        <v>3.8146673212041504</v>
      </c>
      <c r="AG22" s="177">
        <v>2545000000</v>
      </c>
      <c r="AH22" s="175">
        <v>2545000000</v>
      </c>
      <c r="AI22" s="176">
        <v>0.89062499999999989</v>
      </c>
      <c r="AJ22" s="176" t="s">
        <v>225</v>
      </c>
      <c r="AK22" s="176" t="s">
        <v>192</v>
      </c>
      <c r="AL22" s="176" t="s">
        <v>225</v>
      </c>
      <c r="AM22" s="176" t="s">
        <v>225</v>
      </c>
      <c r="AN22" s="176" t="s">
        <v>190</v>
      </c>
      <c r="AT22" s="208">
        <v>2545000000</v>
      </c>
      <c r="AU22" s="175">
        <v>2545000000</v>
      </c>
    </row>
    <row r="23" spans="1:47">
      <c r="A23" s="155" t="s">
        <v>384</v>
      </c>
      <c r="B23" s="155" t="s">
        <v>267</v>
      </c>
      <c r="C23" s="155" t="s">
        <v>357</v>
      </c>
      <c r="D23" s="155" t="s">
        <v>268</v>
      </c>
      <c r="E23" s="176">
        <v>6.8399000000000001</v>
      </c>
      <c r="F23" s="176" t="s">
        <v>185</v>
      </c>
      <c r="G23" s="116">
        <v>2</v>
      </c>
      <c r="H23" s="176" t="s">
        <v>186</v>
      </c>
      <c r="I23" s="176" t="s">
        <v>269</v>
      </c>
      <c r="J23" s="176" t="s">
        <v>188</v>
      </c>
      <c r="K23" s="116">
        <v>2</v>
      </c>
      <c r="L23" s="176" t="s">
        <v>270</v>
      </c>
      <c r="M23" s="176" t="s">
        <v>151</v>
      </c>
      <c r="N23" s="176" t="s">
        <v>271</v>
      </c>
      <c r="O23" s="176">
        <v>125.322</v>
      </c>
      <c r="P23" s="176">
        <v>2.1078999999999999</v>
      </c>
      <c r="Q23" s="176">
        <v>126.242</v>
      </c>
      <c r="R23" s="176">
        <v>1.9596</v>
      </c>
      <c r="S23" s="176">
        <v>125.782</v>
      </c>
      <c r="T23" s="176">
        <v>2.0335999999999999</v>
      </c>
      <c r="U23" s="176">
        <v>125.78200000000001</v>
      </c>
      <c r="V23" s="176">
        <v>2.0335999999999999</v>
      </c>
      <c r="W23" s="176" t="s">
        <v>190</v>
      </c>
      <c r="X23" s="176" t="s">
        <v>301</v>
      </c>
      <c r="Y23" s="176">
        <v>4.9293754523471858</v>
      </c>
      <c r="Z23" s="176">
        <v>4.9253127936922336</v>
      </c>
      <c r="AA23" s="176">
        <v>4.9273502659509125</v>
      </c>
      <c r="AB23" s="176">
        <v>4.7324430383222351</v>
      </c>
      <c r="AC23" s="176">
        <v>4.7216735217133765</v>
      </c>
      <c r="AD23" s="176">
        <v>4.7270683693702269</v>
      </c>
      <c r="AE23" s="176">
        <v>0.29509860436939617</v>
      </c>
      <c r="AF23" s="176">
        <v>0.29394209637742691</v>
      </c>
      <c r="AG23" s="177">
        <v>1312538608.1199999</v>
      </c>
      <c r="AH23" s="175">
        <v>1316895466.5899999</v>
      </c>
      <c r="AI23" s="176">
        <v>1.7851387362637363</v>
      </c>
      <c r="AJ23" s="176" t="s">
        <v>191</v>
      </c>
      <c r="AK23" s="176" t="s">
        <v>192</v>
      </c>
      <c r="AL23" s="176" t="s">
        <v>191</v>
      </c>
      <c r="AM23" s="176" t="s">
        <v>191</v>
      </c>
      <c r="AN23" s="176" t="s">
        <v>272</v>
      </c>
      <c r="AT23" s="208">
        <v>1316895466.5899999</v>
      </c>
      <c r="AU23" s="175">
        <v>1312538608.1199999</v>
      </c>
    </row>
    <row r="24" spans="1:47">
      <c r="A24" s="155" t="s">
        <v>379</v>
      </c>
      <c r="B24" s="155" t="s">
        <v>273</v>
      </c>
      <c r="C24" s="155" t="s">
        <v>356</v>
      </c>
      <c r="D24" s="155" t="s">
        <v>274</v>
      </c>
      <c r="E24" s="176">
        <v>2.8893</v>
      </c>
      <c r="F24" s="176" t="s">
        <v>185</v>
      </c>
      <c r="G24" s="116">
        <v>2</v>
      </c>
      <c r="H24" s="176" t="s">
        <v>186</v>
      </c>
      <c r="I24" s="176" t="s">
        <v>269</v>
      </c>
      <c r="J24" s="176" t="s">
        <v>188</v>
      </c>
      <c r="K24" s="116">
        <v>2</v>
      </c>
      <c r="L24" s="176" t="s">
        <v>275</v>
      </c>
      <c r="M24" s="176" t="s">
        <v>151</v>
      </c>
      <c r="N24" s="176" t="s">
        <v>276</v>
      </c>
      <c r="O24" s="176">
        <v>104.029</v>
      </c>
      <c r="P24" s="176">
        <v>2.4500000000000002</v>
      </c>
      <c r="Q24" s="176">
        <v>105.384</v>
      </c>
      <c r="R24" s="176">
        <v>2.3138999999999998</v>
      </c>
      <c r="S24" s="176">
        <v>104.706</v>
      </c>
      <c r="T24" s="176">
        <v>2.3816999999999999</v>
      </c>
      <c r="U24" s="176">
        <v>104.70650000000001</v>
      </c>
      <c r="V24" s="176">
        <v>2.3816999999999999</v>
      </c>
      <c r="W24" s="176" t="s">
        <v>190</v>
      </c>
      <c r="X24" s="176" t="s">
        <v>301</v>
      </c>
      <c r="Y24" s="176">
        <v>9.6181996121877944</v>
      </c>
      <c r="Z24" s="176">
        <v>9.6048428784279345</v>
      </c>
      <c r="AA24" s="176">
        <v>9.6115575186235862</v>
      </c>
      <c r="AB24" s="176">
        <v>9.2019523015560445</v>
      </c>
      <c r="AC24" s="176">
        <v>9.1769706775274589</v>
      </c>
      <c r="AD24" s="176">
        <v>9.189511516291784</v>
      </c>
      <c r="AE24" s="176">
        <v>1.0264502269543896</v>
      </c>
      <c r="AF24" s="176">
        <v>1.0219540805749752</v>
      </c>
      <c r="AG24" s="177">
        <v>86115555.290000007</v>
      </c>
      <c r="AH24" s="175">
        <v>86401408.439999998</v>
      </c>
      <c r="AI24" s="176">
        <v>1.2326633152173914</v>
      </c>
      <c r="AJ24" s="176" t="s">
        <v>301</v>
      </c>
      <c r="AK24" s="176" t="s">
        <v>192</v>
      </c>
      <c r="AL24" s="176" t="s">
        <v>301</v>
      </c>
      <c r="AM24" s="176" t="s">
        <v>196</v>
      </c>
      <c r="AN24" s="176" t="s">
        <v>277</v>
      </c>
      <c r="AT24" s="208">
        <v>86401408.439999998</v>
      </c>
      <c r="AU24" s="175">
        <v>86115555.290000007</v>
      </c>
    </row>
    <row r="25" spans="1:47">
      <c r="A25" s="155" t="s">
        <v>380</v>
      </c>
      <c r="B25" s="155" t="s">
        <v>278</v>
      </c>
      <c r="C25" s="155" t="s">
        <v>355</v>
      </c>
      <c r="D25" s="155" t="s">
        <v>279</v>
      </c>
      <c r="E25" s="176">
        <v>7.39</v>
      </c>
      <c r="F25" s="176" t="s">
        <v>185</v>
      </c>
      <c r="G25" s="116">
        <v>2</v>
      </c>
      <c r="H25" s="176" t="s">
        <v>186</v>
      </c>
      <c r="I25" s="176" t="s">
        <v>269</v>
      </c>
      <c r="J25" s="176" t="s">
        <v>188</v>
      </c>
      <c r="K25" s="116">
        <v>2</v>
      </c>
      <c r="L25" s="176" t="s">
        <v>280</v>
      </c>
      <c r="M25" s="176" t="s">
        <v>151</v>
      </c>
      <c r="N25" s="176" t="s">
        <v>281</v>
      </c>
      <c r="O25" s="176">
        <v>156.07300000000001</v>
      </c>
      <c r="P25" s="176">
        <v>2.9487999999999999</v>
      </c>
      <c r="Q25" s="176">
        <v>159.06100000000001</v>
      </c>
      <c r="R25" s="176">
        <v>2.7743000000000002</v>
      </c>
      <c r="S25" s="176">
        <v>157.56700000000001</v>
      </c>
      <c r="T25" s="176">
        <v>2.8609999999999998</v>
      </c>
      <c r="U25" s="176">
        <v>157.56700000000001</v>
      </c>
      <c r="V25" s="176">
        <v>2.8609999999999998</v>
      </c>
      <c r="W25" s="176" t="s">
        <v>190</v>
      </c>
      <c r="X25" s="176" t="s">
        <v>301</v>
      </c>
      <c r="Y25" s="176">
        <v>10.86313695211809</v>
      </c>
      <c r="Z25" s="176">
        <v>10.806755522454061</v>
      </c>
      <c r="AA25" s="176">
        <v>10.835148528342476</v>
      </c>
      <c r="AB25" s="176">
        <v>10.346458124614559</v>
      </c>
      <c r="AC25" s="176">
        <v>10.275315657314081</v>
      </c>
      <c r="AD25" s="176">
        <v>10.31110448707769</v>
      </c>
      <c r="AE25" s="176">
        <v>1.4698092121048782</v>
      </c>
      <c r="AF25" s="176">
        <v>1.4548159706159829</v>
      </c>
      <c r="AG25" s="177">
        <v>1348666468.1800001</v>
      </c>
      <c r="AH25" s="175">
        <v>1353143249.95</v>
      </c>
      <c r="AI25" s="176">
        <v>3.3937771739130431</v>
      </c>
      <c r="AJ25" s="176" t="s">
        <v>191</v>
      </c>
      <c r="AK25" s="176" t="s">
        <v>192</v>
      </c>
      <c r="AL25" s="176" t="s">
        <v>191</v>
      </c>
      <c r="AM25" s="176" t="s">
        <v>191</v>
      </c>
      <c r="AN25" s="176" t="s">
        <v>282</v>
      </c>
      <c r="AT25" s="208">
        <v>1353143249.95</v>
      </c>
      <c r="AU25" s="175">
        <v>1348666468.1800001</v>
      </c>
    </row>
    <row r="26" spans="1:47">
      <c r="A26" s="155" t="s">
        <v>381</v>
      </c>
      <c r="B26" s="155" t="s">
        <v>283</v>
      </c>
      <c r="C26" s="155" t="s">
        <v>354</v>
      </c>
      <c r="D26" s="155" t="s">
        <v>284</v>
      </c>
      <c r="E26" s="176">
        <v>3.1412</v>
      </c>
      <c r="F26" s="176" t="s">
        <v>185</v>
      </c>
      <c r="G26" s="116">
        <v>2</v>
      </c>
      <c r="H26" s="176" t="s">
        <v>186</v>
      </c>
      <c r="I26" s="176" t="s">
        <v>269</v>
      </c>
      <c r="J26" s="176" t="s">
        <v>188</v>
      </c>
      <c r="K26" s="116">
        <v>2</v>
      </c>
      <c r="L26" s="176" t="s">
        <v>285</v>
      </c>
      <c r="M26" s="176" t="s">
        <v>151</v>
      </c>
      <c r="N26" s="176" t="s">
        <v>286</v>
      </c>
      <c r="O26" s="176">
        <v>101.246</v>
      </c>
      <c r="P26" s="176">
        <v>3.0390000000000001</v>
      </c>
      <c r="Q26" s="176">
        <v>102.771</v>
      </c>
      <c r="R26" s="176">
        <v>2.9419</v>
      </c>
      <c r="S26" s="176">
        <v>102.009</v>
      </c>
      <c r="T26" s="176">
        <v>2.9901999999999997</v>
      </c>
      <c r="U26" s="176">
        <v>102.0085</v>
      </c>
      <c r="V26" s="176">
        <v>2.9901999999999997</v>
      </c>
      <c r="W26" s="176">
        <v>99.616900000000001</v>
      </c>
      <c r="X26" s="176" t="s">
        <v>301</v>
      </c>
      <c r="Y26" s="176">
        <v>15.655401814512221</v>
      </c>
      <c r="Z26" s="176">
        <v>15.604520589279465</v>
      </c>
      <c r="AA26" s="176">
        <v>15.630112455853112</v>
      </c>
      <c r="AB26" s="176">
        <v>14.886508657177938</v>
      </c>
      <c r="AC26" s="176">
        <v>14.824146882291648</v>
      </c>
      <c r="AD26" s="176">
        <v>14.855489966109941</v>
      </c>
      <c r="AE26" s="176">
        <v>2.8443040130912527</v>
      </c>
      <c r="AF26" s="176">
        <v>2.8269560676667718</v>
      </c>
      <c r="AG26" s="177">
        <v>255905114.25999999</v>
      </c>
      <c r="AH26" s="175">
        <v>256754569.16999999</v>
      </c>
      <c r="AI26" s="176">
        <v>1.3401315217391305</v>
      </c>
      <c r="AJ26" s="176" t="s">
        <v>301</v>
      </c>
      <c r="AK26" s="176" t="s">
        <v>192</v>
      </c>
      <c r="AL26" s="176" t="s">
        <v>301</v>
      </c>
      <c r="AM26" s="176" t="s">
        <v>196</v>
      </c>
      <c r="AN26" s="176" t="s">
        <v>287</v>
      </c>
      <c r="AT26" s="208">
        <v>256754569.16999999</v>
      </c>
      <c r="AU26" s="175">
        <v>255905114.25999999</v>
      </c>
    </row>
    <row r="27" spans="1:47">
      <c r="A27" s="155" t="s">
        <v>382</v>
      </c>
      <c r="B27" s="155" t="s">
        <v>288</v>
      </c>
      <c r="C27" s="155" t="s">
        <v>353</v>
      </c>
      <c r="D27" s="155" t="s">
        <v>289</v>
      </c>
      <c r="E27" s="176">
        <v>3.83</v>
      </c>
      <c r="F27" s="176" t="s">
        <v>185</v>
      </c>
      <c r="G27" s="116">
        <v>2</v>
      </c>
      <c r="H27" s="176" t="s">
        <v>186</v>
      </c>
      <c r="I27" s="176" t="s">
        <v>269</v>
      </c>
      <c r="J27" s="176" t="s">
        <v>188</v>
      </c>
      <c r="K27" s="116">
        <v>2</v>
      </c>
      <c r="L27" s="176" t="s">
        <v>290</v>
      </c>
      <c r="M27" s="176" t="s">
        <v>151</v>
      </c>
      <c r="N27" s="176" t="s">
        <v>291</v>
      </c>
      <c r="O27" s="176">
        <v>114.968</v>
      </c>
      <c r="P27" s="176">
        <v>3.0044</v>
      </c>
      <c r="Q27" s="176">
        <v>116.52</v>
      </c>
      <c r="R27" s="176">
        <v>2.9290000000000003</v>
      </c>
      <c r="S27" s="176">
        <v>115.744</v>
      </c>
      <c r="T27" s="176">
        <v>2.9664999999999999</v>
      </c>
      <c r="U27" s="176">
        <v>115.744</v>
      </c>
      <c r="V27" s="176">
        <v>2.9664999999999999</v>
      </c>
      <c r="W27" s="176">
        <v>100</v>
      </c>
      <c r="X27" s="176" t="s">
        <v>301</v>
      </c>
      <c r="Y27" s="176">
        <v>17.984132980987766</v>
      </c>
      <c r="Z27" s="176">
        <v>17.910056604344121</v>
      </c>
      <c r="AA27" s="176">
        <v>17.947281487782231</v>
      </c>
      <c r="AB27" s="176">
        <v>17.103014969787626</v>
      </c>
      <c r="AC27" s="176">
        <v>17.020100291348871</v>
      </c>
      <c r="AD27" s="176">
        <v>17.061748047687392</v>
      </c>
      <c r="AE27" s="176">
        <v>4.0013686389493186</v>
      </c>
      <c r="AF27" s="176">
        <v>3.9734748752143512</v>
      </c>
      <c r="AG27" s="177">
        <v>609953358.29999995</v>
      </c>
      <c r="AH27" s="175">
        <v>611978045.75999999</v>
      </c>
      <c r="AI27" s="176">
        <v>1.6339945652173913</v>
      </c>
      <c r="AJ27" s="176" t="s">
        <v>191</v>
      </c>
      <c r="AK27" s="176" t="s">
        <v>192</v>
      </c>
      <c r="AL27" s="176" t="s">
        <v>301</v>
      </c>
      <c r="AM27" s="176" t="s">
        <v>191</v>
      </c>
      <c r="AN27" s="176" t="s">
        <v>292</v>
      </c>
      <c r="AT27" s="208">
        <v>611978045.75999999</v>
      </c>
      <c r="AU27" s="175">
        <v>609953358.29999995</v>
      </c>
    </row>
    <row r="28" spans="1:47">
      <c r="A28" s="155" t="s">
        <v>383</v>
      </c>
      <c r="B28" s="155" t="s">
        <v>293</v>
      </c>
      <c r="C28" s="155" t="s">
        <v>352</v>
      </c>
      <c r="D28" s="155" t="s">
        <v>294</v>
      </c>
      <c r="E28" s="176">
        <v>3.2669000000000001</v>
      </c>
      <c r="F28" s="155" t="s">
        <v>185</v>
      </c>
      <c r="G28" s="155">
        <v>2</v>
      </c>
      <c r="H28" s="155" t="s">
        <v>186</v>
      </c>
      <c r="I28" s="155" t="s">
        <v>269</v>
      </c>
      <c r="J28" s="155" t="s">
        <v>188</v>
      </c>
      <c r="K28" s="155">
        <v>2</v>
      </c>
      <c r="L28" s="155" t="s">
        <v>295</v>
      </c>
      <c r="M28" s="155" t="s">
        <v>151</v>
      </c>
      <c r="N28" s="155" t="s">
        <v>296</v>
      </c>
      <c r="O28" s="155">
        <v>105.952</v>
      </c>
      <c r="P28" s="155">
        <v>2.9701</v>
      </c>
      <c r="Q28" s="155">
        <v>107.58</v>
      </c>
      <c r="R28" s="155">
        <v>2.8984999999999999</v>
      </c>
      <c r="S28" s="155">
        <v>106.76600000000001</v>
      </c>
      <c r="T28" s="155">
        <v>2.9340999999999999</v>
      </c>
      <c r="U28" s="155">
        <v>106.76599999999999</v>
      </c>
      <c r="V28" s="155">
        <v>2.9340999999999999</v>
      </c>
      <c r="W28" s="155" t="s">
        <v>190</v>
      </c>
      <c r="X28" s="155" t="s">
        <v>301</v>
      </c>
      <c r="Y28" s="155">
        <v>21.661091532238729</v>
      </c>
      <c r="Z28" s="155">
        <v>21.546264951759564</v>
      </c>
      <c r="AA28" s="155">
        <v>21.603999683126162</v>
      </c>
      <c r="AB28" s="155">
        <v>20.605920340691522</v>
      </c>
      <c r="AC28" s="155">
        <v>20.482434582666095</v>
      </c>
      <c r="AD28" s="155">
        <v>20.544499246126623</v>
      </c>
      <c r="AE28" s="155">
        <v>5.9343321577511166</v>
      </c>
      <c r="AF28" s="155">
        <v>5.8832702194402646</v>
      </c>
      <c r="AG28" s="177">
        <v>430997202.44</v>
      </c>
      <c r="AH28" s="175">
        <v>432427860.39999998</v>
      </c>
      <c r="AI28" s="176">
        <v>1.3937589673913044</v>
      </c>
      <c r="AJ28" s="155" t="s">
        <v>301</v>
      </c>
      <c r="AK28" s="1" t="s">
        <v>192</v>
      </c>
      <c r="AL28" s="1" t="s">
        <v>301</v>
      </c>
      <c r="AM28" s="1" t="s">
        <v>196</v>
      </c>
      <c r="AN28" s="4" t="s">
        <v>297</v>
      </c>
      <c r="AT28" s="208">
        <v>432427860.39999998</v>
      </c>
      <c r="AU28" s="175">
        <v>430997202.44</v>
      </c>
    </row>
    <row r="29" spans="1:47">
      <c r="A29" s="257" t="s">
        <v>649</v>
      </c>
      <c r="B29" s="257"/>
      <c r="C29" s="257"/>
      <c r="D29" s="257"/>
      <c r="E29" s="176">
        <v>2.8439999999999999</v>
      </c>
      <c r="F29" s="257"/>
      <c r="G29" s="257">
        <v>2</v>
      </c>
      <c r="H29" s="257" t="s">
        <v>186</v>
      </c>
      <c r="I29" s="257" t="s">
        <v>187</v>
      </c>
      <c r="J29" s="257" t="s">
        <v>188</v>
      </c>
      <c r="K29" s="257"/>
      <c r="L29" s="256">
        <v>47654</v>
      </c>
      <c r="M29" s="257" t="s">
        <v>223</v>
      </c>
      <c r="N29" s="257"/>
      <c r="O29" s="257">
        <v>100</v>
      </c>
      <c r="P29" s="257">
        <v>2.8439999999999999</v>
      </c>
      <c r="Q29" s="257">
        <v>100</v>
      </c>
      <c r="R29" s="257">
        <v>2.8439999999999999</v>
      </c>
      <c r="S29" s="257">
        <v>100</v>
      </c>
      <c r="T29" s="257">
        <v>2.8439999999999999</v>
      </c>
      <c r="U29" s="257">
        <v>100</v>
      </c>
      <c r="V29" s="257">
        <v>2.8439999999999999</v>
      </c>
      <c r="W29" s="257">
        <v>100</v>
      </c>
      <c r="X29" s="257"/>
      <c r="Y29" s="257"/>
      <c r="Z29" s="257"/>
      <c r="AA29" s="257"/>
      <c r="AB29" s="257"/>
      <c r="AC29" s="257"/>
      <c r="AD29" s="257"/>
      <c r="AE29" s="257"/>
      <c r="AF29" s="257"/>
      <c r="AG29" s="177"/>
      <c r="AH29" s="175"/>
      <c r="AI29" s="176"/>
      <c r="AJ29" s="257"/>
      <c r="AN29" s="255"/>
      <c r="AT29" s="208"/>
      <c r="AU29" s="175"/>
    </row>
    <row r="30" spans="1:47">
      <c r="A30" s="155" t="s">
        <v>558</v>
      </c>
      <c r="E30" s="176"/>
      <c r="AG30" s="177"/>
      <c r="AH30" s="175"/>
      <c r="AI30" s="176"/>
      <c r="AJ30" s="155"/>
    </row>
    <row r="31" spans="1:47">
      <c r="A31" s="209"/>
      <c r="E31" s="176"/>
      <c r="AG31" s="177"/>
      <c r="AH31" s="175"/>
      <c r="AI31" s="176"/>
      <c r="AJ31" s="155"/>
    </row>
    <row r="32" spans="1:47"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73"/>
      <c r="AI32" s="184"/>
      <c r="AJ32" s="184"/>
      <c r="AK32" s="184"/>
      <c r="AL32" s="184"/>
      <c r="AM32" s="184"/>
      <c r="AN32" s="155"/>
    </row>
    <row r="34" spans="33:34">
      <c r="AG34" s="177"/>
      <c r="AH34" s="175"/>
    </row>
    <row r="35" spans="33:34">
      <c r="AG35" s="177"/>
      <c r="AH35" s="175"/>
    </row>
    <row r="36" spans="33:34">
      <c r="AG36" s="177"/>
      <c r="AH36" s="175"/>
    </row>
    <row r="37" spans="33:34">
      <c r="AG37" s="177"/>
      <c r="AH37" s="175"/>
    </row>
    <row r="38" spans="33:34">
      <c r="AG38" s="177"/>
      <c r="AH38" s="175"/>
    </row>
    <row r="39" spans="33:34">
      <c r="AG39" s="177"/>
      <c r="AH39" s="175"/>
    </row>
    <row r="40" spans="33:34">
      <c r="AG40" s="177"/>
      <c r="AH40" s="175"/>
    </row>
    <row r="41" spans="33:34">
      <c r="AG41" s="177"/>
      <c r="AH41" s="175"/>
    </row>
    <row r="42" spans="33:34">
      <c r="AG42" s="177"/>
      <c r="AH42" s="175"/>
    </row>
    <row r="43" spans="33:34">
      <c r="AG43" s="177"/>
      <c r="AH43" s="175"/>
    </row>
    <row r="44" spans="33:34">
      <c r="AG44" s="177"/>
      <c r="AH44" s="175"/>
    </row>
    <row r="45" spans="33:34">
      <c r="AG45" s="177"/>
      <c r="AH45" s="175"/>
    </row>
    <row r="46" spans="33:34">
      <c r="AG46" s="177"/>
      <c r="AH46" s="175"/>
    </row>
    <row r="47" spans="33:34">
      <c r="AG47" s="177"/>
      <c r="AH47" s="175"/>
    </row>
    <row r="48" spans="33:34">
      <c r="AG48" s="177"/>
      <c r="AH48" s="175"/>
    </row>
    <row r="49" spans="33:34">
      <c r="AG49" s="177"/>
      <c r="AH49" s="175"/>
    </row>
    <row r="50" spans="33:34">
      <c r="AG50" s="177"/>
      <c r="AH50" s="175"/>
    </row>
    <row r="51" spans="33:34">
      <c r="AG51" s="177"/>
      <c r="AH51" s="175"/>
    </row>
    <row r="52" spans="33:34">
      <c r="AG52" s="177"/>
      <c r="AH52" s="175"/>
    </row>
    <row r="53" spans="33:34">
      <c r="AG53" s="177"/>
      <c r="AH53" s="175"/>
    </row>
    <row r="54" spans="33:34">
      <c r="AG54" s="177"/>
      <c r="AH54" s="175"/>
    </row>
    <row r="55" spans="33:34">
      <c r="AG55" s="177"/>
      <c r="AH55" s="175"/>
    </row>
    <row r="56" spans="33:34">
      <c r="AG56" s="177"/>
      <c r="AH56" s="175"/>
    </row>
    <row r="57" spans="33:34">
      <c r="AG57" s="177"/>
      <c r="AH57" s="175"/>
    </row>
    <row r="58" spans="33:34">
      <c r="AG58" s="177"/>
      <c r="AH58" s="175"/>
    </row>
    <row r="59" spans="33:34">
      <c r="AG59" s="177"/>
      <c r="AH59" s="175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>
    <tabColor theme="1"/>
  </sheetPr>
  <dimension ref="A1:AU28"/>
  <sheetViews>
    <sheetView workbookViewId="0">
      <pane xSplit="2" ySplit="1" topLeftCell="C17" activePane="bottomRight" state="frozen"/>
      <selection pane="topRight" activeCell="C1" sqref="C1"/>
      <selection pane="bottomLeft" activeCell="A2" sqref="A2"/>
      <selection pane="bottomRight" activeCell="A28" sqref="A28"/>
    </sheetView>
  </sheetViews>
  <sheetFormatPr defaultColWidth="10.84375" defaultRowHeight="14.6"/>
  <cols>
    <col min="1" max="1" width="19.84375" style="89" bestFit="1" customWidth="1"/>
    <col min="2" max="2" width="12.4609375" style="76" bestFit="1" customWidth="1"/>
    <col min="3" max="3" width="7.15234375" style="76" bestFit="1" customWidth="1"/>
    <col min="4" max="4" width="8.3828125" style="76" bestFit="1" customWidth="1"/>
    <col min="5" max="6" width="10.4609375" style="76" bestFit="1" customWidth="1"/>
    <col min="7" max="7" width="11" style="76" bestFit="1" customWidth="1"/>
    <col min="8" max="9" width="8.15234375" style="76" bestFit="1" customWidth="1"/>
    <col min="10" max="10" width="8.61328125" style="76" bestFit="1" customWidth="1"/>
    <col min="11" max="11" width="11" bestFit="1" customWidth="1"/>
    <col min="12" max="12" width="11.84375" style="97" bestFit="1" customWidth="1"/>
    <col min="13" max="13" width="11.15234375" style="97" bestFit="1" customWidth="1"/>
    <col min="14" max="14" width="10.84375" style="97" bestFit="1" customWidth="1"/>
    <col min="15" max="15" width="12.15234375" style="97" bestFit="1" customWidth="1"/>
    <col min="16" max="16" width="15.84375" style="97" bestFit="1" customWidth="1"/>
    <col min="17" max="17" width="10.4609375" style="97" bestFit="1" customWidth="1"/>
    <col min="18" max="18" width="10.61328125" style="97" bestFit="1" customWidth="1"/>
    <col min="19" max="19" width="8.4609375" style="76" bestFit="1" customWidth="1"/>
    <col min="20" max="20" width="13.3828125" style="75" bestFit="1" customWidth="1"/>
    <col min="21" max="21" width="10.61328125" style="75" bestFit="1" customWidth="1"/>
    <col min="22" max="22" width="10.61328125" bestFit="1" customWidth="1"/>
    <col min="23" max="23" width="18.84375" bestFit="1" customWidth="1"/>
    <col min="24" max="24" width="12.4609375" bestFit="1" customWidth="1"/>
    <col min="25" max="25" width="6.61328125" bestFit="1" customWidth="1"/>
    <col min="26" max="26" width="8.3828125" bestFit="1" customWidth="1"/>
    <col min="27" max="28" width="10.4609375" bestFit="1" customWidth="1"/>
    <col min="29" max="29" width="11" bestFit="1" customWidth="1"/>
    <col min="30" max="30" width="11.15234375" bestFit="1" customWidth="1"/>
    <col min="31" max="31" width="8.15234375" bestFit="1" customWidth="1"/>
    <col min="32" max="32" width="8.61328125" bestFit="1" customWidth="1"/>
    <col min="33" max="33" width="11" bestFit="1" customWidth="1"/>
    <col min="34" max="34" width="5.84375" style="75" bestFit="1" customWidth="1"/>
    <col min="36" max="36" width="19.84375" bestFit="1" customWidth="1"/>
    <col min="37" max="37" width="12.4609375" bestFit="1" customWidth="1"/>
    <col min="38" max="38" width="6.61328125" bestFit="1" customWidth="1"/>
    <col min="39" max="39" width="8.3828125" bestFit="1" customWidth="1"/>
    <col min="40" max="41" width="10.4609375" bestFit="1" customWidth="1"/>
    <col min="42" max="42" width="11" bestFit="1" customWidth="1"/>
    <col min="43" max="44" width="8.15234375" bestFit="1" customWidth="1"/>
    <col min="45" max="45" width="8.61328125" bestFit="1" customWidth="1"/>
    <col min="46" max="46" width="11" bestFit="1" customWidth="1"/>
    <col min="47" max="47" width="13.3828125" bestFit="1" customWidth="1"/>
  </cols>
  <sheetData>
    <row r="1" spans="1:47">
      <c r="A1" s="89" t="s">
        <v>402</v>
      </c>
      <c r="B1" s="76" t="s">
        <v>107</v>
      </c>
      <c r="C1" s="76" t="s">
        <v>108</v>
      </c>
      <c r="D1" s="76" t="s">
        <v>109</v>
      </c>
      <c r="E1" s="75" t="s">
        <v>407</v>
      </c>
      <c r="F1" s="75" t="s">
        <v>409</v>
      </c>
      <c r="G1" s="75" t="s">
        <v>404</v>
      </c>
      <c r="H1" s="76" t="s">
        <v>406</v>
      </c>
      <c r="I1" s="76" t="s">
        <v>408</v>
      </c>
      <c r="J1" s="76" t="s">
        <v>403</v>
      </c>
      <c r="K1" s="76" t="s">
        <v>302</v>
      </c>
      <c r="L1" s="97" t="s">
        <v>419</v>
      </c>
      <c r="M1" s="97" t="s">
        <v>502</v>
      </c>
      <c r="N1" s="121" t="s">
        <v>420</v>
      </c>
      <c r="O1" s="97" t="s">
        <v>421</v>
      </c>
      <c r="P1" s="97" t="s">
        <v>422</v>
      </c>
      <c r="Q1" s="97" t="s">
        <v>423</v>
      </c>
      <c r="R1" s="97" t="s">
        <v>424</v>
      </c>
      <c r="S1" s="76" t="s">
        <v>410</v>
      </c>
      <c r="T1" s="89" t="s">
        <v>396</v>
      </c>
      <c r="U1" s="127" t="s">
        <v>496</v>
      </c>
      <c r="V1" s="129" t="s">
        <v>495</v>
      </c>
      <c r="W1" s="341" t="s">
        <v>411</v>
      </c>
      <c r="X1" s="341"/>
      <c r="Y1" s="341"/>
      <c r="Z1" s="341"/>
      <c r="AA1" s="341"/>
      <c r="AB1" s="341"/>
      <c r="AC1" s="341"/>
      <c r="AD1" s="341"/>
      <c r="AE1" s="341"/>
      <c r="AF1" s="341"/>
      <c r="AG1" s="341"/>
      <c r="AH1" s="341"/>
      <c r="AJ1" s="341" t="s">
        <v>412</v>
      </c>
      <c r="AK1" s="341"/>
      <c r="AL1" s="341"/>
      <c r="AM1" s="341"/>
      <c r="AN1" s="341"/>
      <c r="AO1" s="341"/>
      <c r="AP1" s="341"/>
      <c r="AQ1" s="341"/>
      <c r="AR1" s="341"/>
      <c r="AS1" s="341"/>
      <c r="AT1" s="341"/>
      <c r="AU1" s="341"/>
    </row>
    <row r="2" spans="1:47">
      <c r="A2" s="89" t="s">
        <v>219</v>
      </c>
      <c r="B2" s="76" t="str">
        <f ca="1">+OFFSET(bd_bonos!$A$1,MATCH(bond_calc!$A2,bd_bonos!$A:$A,0)-1,11)</f>
        <v>30/03/2019</v>
      </c>
      <c r="C2" s="98">
        <f ca="1">+OFFSET(bd_bonos!$A$1,MATCH(bond_calc!$A2,bd_bonos!$A:$A,0)-1,4)/100</f>
        <v>7.1249999999999994E-2</v>
      </c>
      <c r="D2" s="76" t="str">
        <f ca="1">+OFFSET(bd_bonos!$A$1,MATCH(bond_calc!$A2,bd_bonos!$A:$A,0)-1,12)</f>
        <v>USD</v>
      </c>
      <c r="E2" s="98">
        <f ca="1">+OFFSET(bd_historicas!$A$1,MATCH($A2,bd_historicas!$D:$D,0)+3,MATCH(E$1,bd_historicas!$D$4:$J$4,0)+2)/100</f>
        <v>0</v>
      </c>
      <c r="F2" s="98">
        <f ca="1">+OFFSET(bd_historicas!$A$1,MATCH($A2,bd_historicas!$D:$D,0)+3,MATCH(F$1,bd_historicas!$D$4:$J$4,0)+2)/100</f>
        <v>0</v>
      </c>
      <c r="G2" s="98">
        <f ca="1">+OFFSET(bd_historicas!$A$1,MATCH($A2,bd_historicas!$D:$D,0)+3,MATCH(G$1,bd_historicas!$D$4:$J$4,0)+2)/100</f>
        <v>0</v>
      </c>
      <c r="H2" s="77">
        <f ca="1">+OFFSET(bd_historicas!$A$1,MATCH($A2,bd_historicas!$D:$D,0)+3,MATCH(H$1,bd_historicas!$D$4:$J$4,0)+2)</f>
        <v>0</v>
      </c>
      <c r="I2" s="77">
        <f ca="1">+OFFSET(bd_historicas!$A$1,MATCH($A2,bd_historicas!$D:$D,0)+3,MATCH(I$1,bd_historicas!$D$4:$J$4,0)+2)</f>
        <v>0</v>
      </c>
      <c r="J2" s="77">
        <f ca="1">+OFFSET(bd_historicas!$A$1,MATCH($A2,bd_historicas!$D:$D,0)+3,MATCH(J$1,bd_historicas!$D$4:$J$4,0)+2)</f>
        <v>0</v>
      </c>
      <c r="K2" s="73">
        <f ca="1">+(B2-intercambio!$B$6)/365</f>
        <v>-0.66849315068493154</v>
      </c>
      <c r="L2" s="99" t="e">
        <f ca="1">+IF($D2&lt;&gt;"PEN",((((1+_xll.Interp($K2,$AG$3:$AG$13,$AC$3:$AC$13))^(0.5)-1)*2)*365/360),$G2)</f>
        <v>#NAME?</v>
      </c>
      <c r="M2" s="99" t="e">
        <f ca="1">+IF($D2&lt;&gt;"PEN",_xll.Interp($K2,icap!$C$2:$C$11,icap!$F$2:$F$11),0)</f>
        <v>#NAME?</v>
      </c>
      <c r="N2" s="99" t="e">
        <f ca="1">+L2-M2</f>
        <v>#NAME?</v>
      </c>
      <c r="O2" s="77"/>
      <c r="P2" s="99" t="e">
        <f ca="1">+IF($D2="USD",$G2+$M2,IF($D2="EUR","",IF($D2="PEN",$G2)))</f>
        <v>#NAME?</v>
      </c>
      <c r="Q2" s="77"/>
      <c r="R2" s="77"/>
      <c r="S2" s="77" t="e">
        <f ca="1">+IF($D2="PEN",J2,IF(OR($D2="USD",$D2="EUR"),PRICE(intercambio!$B$6,bond_calc!$B2,bond_calc!$C2,bond_calc!$N2,100,2,0)))</f>
        <v>#NAME?</v>
      </c>
      <c r="T2" s="78">
        <f ca="1">+OFFSET(bd_bonos!$A$1,MATCH(bond_calc!$A2,bd_bonos!$A$1:$A$28,0)-1,33)</f>
        <v>149214000</v>
      </c>
      <c r="U2" s="134">
        <f ca="1">+IF(OFFSET(bd_schd!$C$1,MATCH(bond_calc!A2,bd_schd!$C:$C,0)-1,2)=0,"",OFFSET(bd_schd!$C$1,MATCH(bond_calc!A2,bd_schd!$C:$C,0)-1,2))</f>
        <v>43554</v>
      </c>
      <c r="V2" s="130" t="str">
        <f ca="1">+IF(OFFSET(bd_schd!$C$1,MATCH(bond_calc!A2,bd_schd!$C:$C,0)-1,3)=0,"",OFFSET(bd_schd!$C$1,MATCH(bond_calc!A2,bd_schd!$C:$C,0)-1,3))</f>
        <v/>
      </c>
      <c r="W2" s="76" t="s">
        <v>402</v>
      </c>
      <c r="X2" s="76" t="s">
        <v>107</v>
      </c>
      <c r="Y2" s="76" t="s">
        <v>108</v>
      </c>
      <c r="Z2" s="76" t="s">
        <v>109</v>
      </c>
      <c r="AA2" s="76" t="s">
        <v>407</v>
      </c>
      <c r="AB2" s="76" t="s">
        <v>409</v>
      </c>
      <c r="AC2" s="76" t="s">
        <v>404</v>
      </c>
      <c r="AD2" s="76" t="s">
        <v>406</v>
      </c>
      <c r="AE2" s="76" t="s">
        <v>408</v>
      </c>
      <c r="AF2" s="76" t="s">
        <v>403</v>
      </c>
      <c r="AG2" s="76" t="s">
        <v>302</v>
      </c>
      <c r="AH2" s="89" t="s">
        <v>396</v>
      </c>
      <c r="AJ2" s="76" t="s">
        <v>402</v>
      </c>
      <c r="AK2" s="76" t="s">
        <v>107</v>
      </c>
      <c r="AL2" s="76" t="s">
        <v>108</v>
      </c>
      <c r="AM2" s="76" t="s">
        <v>109</v>
      </c>
      <c r="AN2" s="76" t="s">
        <v>407</v>
      </c>
      <c r="AO2" s="76" t="s">
        <v>409</v>
      </c>
      <c r="AP2" s="76" t="s">
        <v>404</v>
      </c>
      <c r="AQ2" s="76" t="s">
        <v>406</v>
      </c>
      <c r="AR2" s="76" t="s">
        <v>408</v>
      </c>
      <c r="AS2" s="76" t="s">
        <v>403</v>
      </c>
      <c r="AT2" s="76" t="s">
        <v>302</v>
      </c>
      <c r="AU2" s="89" t="s">
        <v>396</v>
      </c>
    </row>
    <row r="3" spans="1:47">
      <c r="A3" s="89" t="s">
        <v>227</v>
      </c>
      <c r="B3" s="158" t="str">
        <f ca="1">+OFFSET(bd_bonos!$A$1,MATCH(bond_calc!$A3,bd_bonos!$A:$A,0)-1,11)</f>
        <v>21/07/2025</v>
      </c>
      <c r="C3" s="98">
        <f ca="1">+OFFSET(bd_bonos!$A$1,MATCH(bond_calc!$A3,bd_bonos!$A:$A,0)-1,4)/100</f>
        <v>7.3499999999999996E-2</v>
      </c>
      <c r="D3" s="158" t="str">
        <f ca="1">+OFFSET(bd_bonos!$A$1,MATCH(bond_calc!$A3,bd_bonos!$A:$A,0)-1,12)</f>
        <v>USD</v>
      </c>
      <c r="E3" s="98">
        <f ca="1">+OFFSET(bd_historicas!$A$1,MATCH($A3,bd_historicas!$D:$D,0)+3,MATCH(E$1,bd_historicas!$D$4:$J$4,0)+2)/100</f>
        <v>2.581E-2</v>
      </c>
      <c r="F3" s="98">
        <f ca="1">+OFFSET(bd_historicas!$A$1,MATCH($A3,bd_historicas!$D:$D,0)+3,MATCH(F$1,bd_historicas!$D$4:$J$4,0)+2)/100</f>
        <v>2.5239999999999999E-2</v>
      </c>
      <c r="G3" s="98">
        <f ca="1">+OFFSET(bd_historicas!$A$1,MATCH($A3,bd_historicas!$D:$D,0)+3,MATCH(G$1,bd_historicas!$D$4:$J$4,0)+2)/100</f>
        <v>2.5520000000000001E-2</v>
      </c>
      <c r="H3" s="77">
        <f ca="1">+OFFSET(bd_historicas!$A$1,MATCH($A3,bd_historicas!$D:$D,0)+3,MATCH(H$1,bd_historicas!$D$4:$J$4,0)+2)</f>
        <v>126.73</v>
      </c>
      <c r="I3" s="77">
        <f ca="1">+OFFSET(bd_historicas!$A$1,MATCH($A3,bd_historicas!$D:$D,0)+3,MATCH(I$1,bd_historicas!$D$4:$J$4,0)+2)</f>
        <v>127.10299999999999</v>
      </c>
      <c r="J3" s="77">
        <f ca="1">+OFFSET(bd_historicas!$A$1,MATCH($A3,bd_historicas!$D:$D,0)+3,MATCH(J$1,bd_historicas!$D$4:$J$4,0)+2)</f>
        <v>126.917</v>
      </c>
      <c r="K3" s="73">
        <f ca="1">+(B3-intercambio!$B$6)/365</f>
        <v>5.646575342465753</v>
      </c>
      <c r="L3" s="99" t="e">
        <f ca="1">+IF($D3&lt;&gt;"PEN",((((1+_xll.Interp($K3,$AG$3:$AG$13,$AC$3:$AC$13))^(0.5)-1)*2)*365/360),$G3)</f>
        <v>#NAME?</v>
      </c>
      <c r="M3" s="99" t="e">
        <f ca="1">+IF($D3&lt;&gt;"PEN",_xll.Interp($K3,icap!$C$2:$C$11,icap!$F$2:$F$11),0)</f>
        <v>#NAME?</v>
      </c>
      <c r="N3" s="99" t="e">
        <f ca="1">+L3-M3</f>
        <v>#NAME?</v>
      </c>
      <c r="O3" s="77"/>
      <c r="P3" s="99" t="e">
        <f t="shared" ref="P3:P27" ca="1" si="0">+IF($D3="USD",$G3+$M3,IF($D3="EUR","",IF($D3="PEN",$G3)))</f>
        <v>#NAME?</v>
      </c>
      <c r="Q3" s="77"/>
      <c r="R3" s="77"/>
      <c r="S3" s="77" t="e">
        <f ca="1">+IF($D3="PEN",J3,IF(OR($D3="USD",$D3="EUR"),PRICE(intercambio!$B$6,bond_calc!$B3,bond_calc!$C3,bond_calc!$N3,100,2,0)))</f>
        <v>#NAME?</v>
      </c>
      <c r="T3" s="78">
        <f ca="1">+OFFSET(bd_bonos!$A$1,MATCH(bond_calc!$A3,bd_bonos!$A$1:$A$28,0)-1,33)</f>
        <v>1792780000</v>
      </c>
      <c r="U3" s="134">
        <f ca="1">+IF(OFFSET(bd_schd!$C$1,MATCH(bond_calc!A3,bd_schd!$C:$C,0)-1,2)=0,"",OFFSET(bd_schd!$C$1,MATCH(bond_calc!A3,bd_schd!$C:$C,0)-1,2))</f>
        <v>43667</v>
      </c>
      <c r="V3" s="133">
        <f ca="1">+IF(OFFSET(bd_schd!$C$1,MATCH(bond_calc!A3,bd_schd!$C:$C,0)-1,3)=0,"",OFFSET(bd_schd!$C$1,MATCH(bond_calc!A3,bd_schd!$C:$C,0)-1,3))</f>
        <v>43851</v>
      </c>
      <c r="W3" s="76" t="s">
        <v>116</v>
      </c>
      <c r="X3" s="76" t="str">
        <f ca="1">+OFFSET(bd_bonos!$A$1,MATCH(bond_calc!$W3,bd_bonos!$A:$A,0)-1,11)</f>
        <v>12/08/2020</v>
      </c>
      <c r="Y3" s="77">
        <f ca="1">+OFFSET(bd_bonos!$A$1,MATCH(bond_calc!$W3,bd_bonos!$A:$A,0)-1,4)</f>
        <v>7.84</v>
      </c>
      <c r="Z3" s="76" t="str">
        <f ca="1">+OFFSET(bd_bonos!$A$1,MATCH(bond_calc!$W3,bd_bonos!$A:$A,0)-1,12)</f>
        <v>PEN</v>
      </c>
      <c r="AA3" s="98">
        <f ca="1">+OFFSET($A$1,MATCH($W3,$A:$A,0)-1,MATCH($AA$2,$E$1:$J$1,0)+3)</f>
        <v>2.5840000000000002E-2</v>
      </c>
      <c r="AB3" s="98">
        <f ca="1">+OFFSET($A$1,MATCH($W3,$A:$A,0)-1,MATCH($AB$2,$E$1:$J$1,0)+3)</f>
        <v>2.5080000000000002E-2</v>
      </c>
      <c r="AC3" s="98">
        <f ca="1">+OFFSET($A$1,MATCH($W3,$A:$A,0)-1,MATCH($AC$2,$E$1:$J$1,0)+3)</f>
        <v>2.545E-2</v>
      </c>
      <c r="AD3" s="77">
        <f ca="1">+OFFSET($A$1,MATCH($W3,$A:$A,0)-1,MATCH($AD$2,$E$1:$J$1,0)+3)</f>
        <v>105.896</v>
      </c>
      <c r="AE3" s="77">
        <f ca="1">+OFFSET($A$1,MATCH($W3,$A:$A,0)-1,MATCH($AE$2,$E$1:$J$1,0)+3)</f>
        <v>105.985</v>
      </c>
      <c r="AF3" s="77">
        <f ca="1">+OFFSET($A$1,MATCH($W3,$A:$A,0)-1,MATCH($AF$2,$E$1:$J$1,0)+3)</f>
        <v>105.941</v>
      </c>
      <c r="AG3" s="73">
        <f ca="1">+(X3-intercambio!$B$6)/365</f>
        <v>0.70410958904109588</v>
      </c>
      <c r="AH3" s="73"/>
      <c r="AJ3" s="76" t="s">
        <v>116</v>
      </c>
      <c r="AK3" s="76" t="str">
        <f ca="1">+OFFSET(bd_bonos!$A$1,MATCH(bond_calc!$AJ3,bd_bonos!$A$1:$A$28,0)-1,11)</f>
        <v>12/08/2020</v>
      </c>
      <c r="AL3" s="77">
        <f ca="1">+OFFSET(bd_bonos!$A$1,MATCH(bond_calc!$AJ3,bd_bonos!$A$1:$A$28,0)-1,4)</f>
        <v>7.84</v>
      </c>
      <c r="AM3" s="76" t="str">
        <f ca="1">+OFFSET(bd_bonos!$A$1,MATCH(bond_calc!$AJ3,bd_bonos!$A$1:$A$28,0)-1,12)</f>
        <v>PEN</v>
      </c>
      <c r="AN3" s="98">
        <f ca="1">+OFFSET($A$1,MATCH($AJ3,$A:$A,0)-1,MATCH($AN$2,$E$1:$J$1,0)+3)</f>
        <v>2.5840000000000002E-2</v>
      </c>
      <c r="AO3" s="98">
        <f ca="1">+OFFSET($A$1,MATCH($AJ3,$A:$A,0)-1,MATCH($AO$2,$E$1:$J$1,0)+3)</f>
        <v>2.5080000000000002E-2</v>
      </c>
      <c r="AP3" s="98">
        <f ca="1">+OFFSET($A$1,MATCH($AJ3,$A:$A,0)-1,MATCH($AP$2,$E$1:$J$1,0)+3)</f>
        <v>2.545E-2</v>
      </c>
      <c r="AQ3" s="77">
        <f ca="1">+OFFSET($A$1,MATCH($AJ3,$A:$A,0)-1,MATCH($AQ$2,$E$1:$J$1,0)+3)</f>
        <v>105.896</v>
      </c>
      <c r="AR3" s="77">
        <f ca="1">+OFFSET($A$1,MATCH($AJ3,$A:$A,0)-1,MATCH($AR$2,$E$1:$J$1,0)+3)</f>
        <v>105.985</v>
      </c>
      <c r="AS3" s="77">
        <f ca="1">+OFFSET($A$1,MATCH($AJ3,$A:$A,0)-1,MATCH($AS$2,$E$1:$J$1,0)+3)</f>
        <v>105.941</v>
      </c>
      <c r="AT3" s="73">
        <f ca="1">+(AK3-intercambio!$B$6)/365</f>
        <v>0.70410958904109588</v>
      </c>
      <c r="AU3" s="78">
        <v>1626201000</v>
      </c>
    </row>
    <row r="4" spans="1:47">
      <c r="A4" s="135" t="s">
        <v>233</v>
      </c>
      <c r="B4" s="158" t="str">
        <f ca="1">+OFFSET(bd_bonos!$A$1,MATCH(bond_calc!$A4,bd_bonos!$A:$A,0)-1,11)</f>
        <v>30/01/2026</v>
      </c>
      <c r="C4" s="98">
        <f ca="1">+OFFSET(bd_bonos!$A$1,MATCH(bond_calc!$A4,bd_bonos!$A:$A,0)-1,4)/100</f>
        <v>2.75E-2</v>
      </c>
      <c r="D4" s="158" t="str">
        <f ca="1">+OFFSET(bd_bonos!$A$1,MATCH(bond_calc!$A4,bd_bonos!$A:$A,0)-1,12)</f>
        <v>EUR</v>
      </c>
      <c r="E4" s="98">
        <f ca="1">+OFFSET(bd_historicas!$A$1,MATCH($A4,bd_historicas!$D:$D,0)+3,MATCH(E$1,bd_historicas!$D$4:$J$4,0)+2)/100</f>
        <v>6.9799999999999992E-3</v>
      </c>
      <c r="F4" s="98">
        <f ca="1">+OFFSET(bd_historicas!$A$1,MATCH($A4,bd_historicas!$D:$D,0)+3,MATCH(F$1,bd_historicas!$D$4:$J$4,0)+2)/100</f>
        <v>6.3899999999999998E-3</v>
      </c>
      <c r="G4" s="98">
        <f ca="1">+OFFSET(bd_historicas!$A$1,MATCH($A4,bd_historicas!$D:$D,0)+3,MATCH(G$1,bd_historicas!$D$4:$J$4,0)+2)/100</f>
        <v>6.6800000000000002E-3</v>
      </c>
      <c r="H4" s="77">
        <f ca="1">+OFFSET(bd_historicas!$A$1,MATCH($A4,bd_historicas!$D:$D,0)+3,MATCH(H$1,bd_historicas!$D$4:$J$4,0)+2)</f>
        <v>113.23</v>
      </c>
      <c r="I4" s="77">
        <f ca="1">+OFFSET(bd_historicas!$A$1,MATCH($A4,bd_historicas!$D:$D,0)+3,MATCH(I$1,bd_historicas!$D$4:$J$4,0)+2)</f>
        <v>113.646</v>
      </c>
      <c r="J4" s="77">
        <f ca="1">+OFFSET(bd_historicas!$A$1,MATCH($A4,bd_historicas!$D:$D,0)+3,MATCH(J$1,bd_historicas!$D$4:$J$4,0)+2)</f>
        <v>113.438</v>
      </c>
      <c r="K4" s="73">
        <f ca="1">+(B4-intercambio!$B$6)/365</f>
        <v>6.1753424657534248</v>
      </c>
      <c r="L4" s="99" t="e">
        <f ca="1">+IF($D4&lt;&gt;"PEN",((((1+_xll.Interp($K4,$AG$3:$AG$13,$AC$3:$AC$13))^(0.5)-1)*2)*365/360),$G4)</f>
        <v>#NAME?</v>
      </c>
      <c r="M4" s="99" t="e">
        <f ca="1">+IF($D4&lt;&gt;"PEN",_xll.Interp($K4,icap!$C$2:$C$11,icap!$F$2:$F$11),0)</f>
        <v>#NAME?</v>
      </c>
      <c r="N4" s="99" t="e">
        <f ca="1">+L4-M4</f>
        <v>#NAME?</v>
      </c>
      <c r="O4" s="77"/>
      <c r="P4" s="99" t="str">
        <f t="shared" ca="1" si="0"/>
        <v/>
      </c>
      <c r="Q4" s="77"/>
      <c r="R4" s="77"/>
      <c r="S4" s="77" t="e">
        <f ca="1">+IF($D4="PEN",J4,IF(OR($D4="USD",$D4="EUR"),PRICE(intercambio!$B$6,bond_calc!$B4,bond_calc!$C4,bond_calc!$N4,100,2,0)))</f>
        <v>#NAME?</v>
      </c>
      <c r="T4" s="78">
        <f ca="1">+OFFSET(bd_bonos!$A$1,MATCH(bond_calc!$A4,bd_bonos!$A$1:$A$28,0)-1,33)</f>
        <v>1100000000</v>
      </c>
      <c r="U4" s="134">
        <f ca="1">+IF(OFFSET(bd_schd!$C$1,MATCH(bond_calc!A4,bd_schd!$C:$C,0)-1,2)=0,"",OFFSET(bd_schd!$C$1,MATCH(bond_calc!A4,bd_schd!$C:$C,0)-1,2))</f>
        <v>43495</v>
      </c>
      <c r="V4" s="133">
        <f ca="1">+IF(OFFSET(bd_schd!$C$1,MATCH(bond_calc!A4,bd_schd!$C:$C,0)-1,3)=0,"",OFFSET(bd_schd!$C$1,MATCH(bond_calc!A4,bd_schd!$C:$C,0)-1,3))</f>
        <v>43860</v>
      </c>
      <c r="W4" s="76" t="s">
        <v>117</v>
      </c>
      <c r="X4" s="158" t="str">
        <f ca="1">+OFFSET(bd_bonos!$A$1,MATCH(bond_calc!$W4,bd_bonos!$A:$A,0)-1,11)</f>
        <v>12/09/2023</v>
      </c>
      <c r="Y4" s="77">
        <f ca="1">+OFFSET(bd_bonos!$A$1,MATCH(bond_calc!$W4,bd_bonos!$A:$A,0)-1,4)</f>
        <v>5.2</v>
      </c>
      <c r="Z4" s="158" t="str">
        <f ca="1">+OFFSET(bd_bonos!$A$1,MATCH(bond_calc!$W4,bd_bonos!$A:$A,0)-1,12)</f>
        <v>PEN</v>
      </c>
      <c r="AA4" s="98">
        <f t="shared" ref="AA4:AA13" ca="1" si="1">+OFFSET($A$1,MATCH($W4,$A:$A,0)-1,MATCH($AA$2,$E$1:$J$1,0)+3)</f>
        <v>3.3520000000000001E-2</v>
      </c>
      <c r="AB4" s="98">
        <f t="shared" ref="AB4:AB13" ca="1" si="2">+OFFSET($A$1,MATCH($W4,$A:$A,0)-1,MATCH($AB$2,$E$1:$J$1,0)+3)</f>
        <v>3.3309999999999999E-2</v>
      </c>
      <c r="AC4" s="98">
        <f t="shared" ref="AC4:AC13" ca="1" si="3">+OFFSET($A$1,MATCH($W4,$A:$A,0)-1,MATCH($AC$2,$E$1:$J$1,0)+3)</f>
        <v>3.3419999999999998E-2</v>
      </c>
      <c r="AD4" s="77">
        <f t="shared" ref="AD4:AD13" ca="1" si="4">+OFFSET($A$1,MATCH($W4,$A:$A,0)-1,MATCH($AD$2,$E$1:$J$1,0)+3)</f>
        <v>107.14</v>
      </c>
      <c r="AE4" s="77">
        <f t="shared" ref="AE4:AE13" ca="1" si="5">+OFFSET($A$1,MATCH($W4,$A:$A,0)-1,MATCH($AE$2,$E$1:$J$1,0)+3)</f>
        <v>107.224</v>
      </c>
      <c r="AF4" s="77">
        <f t="shared" ref="AF4:AF13" ca="1" si="6">+OFFSET($A$1,MATCH($W4,$A:$A,0)-1,MATCH($AF$2,$E$1:$J$1,0)+3)</f>
        <v>107.182</v>
      </c>
      <c r="AG4" s="73">
        <f ca="1">+(X4-intercambio!$B$6)/365</f>
        <v>3.7890410958904108</v>
      </c>
      <c r="AH4" s="73"/>
      <c r="AJ4" s="76" t="s">
        <v>117</v>
      </c>
      <c r="AK4" s="76" t="str">
        <f ca="1">+OFFSET(bd_bonos!$A$1,MATCH(bond_calc!$AJ4,bd_bonos!$A$1:$A$28,0)-1,11)</f>
        <v>12/09/2023</v>
      </c>
      <c r="AL4" s="77">
        <f ca="1">+OFFSET(bd_bonos!$A$1,MATCH(bond_calc!$AJ4,bd_bonos!$A$1:$A$28,0)-1,4)</f>
        <v>5.2</v>
      </c>
      <c r="AM4" s="76" t="str">
        <f ca="1">+OFFSET(bd_bonos!$A$1,MATCH(bond_calc!$AJ4,bd_bonos!$A$1:$A$28,0)-1,12)</f>
        <v>PEN</v>
      </c>
      <c r="AN4" s="98">
        <f t="shared" ref="AN4:AN14" ca="1" si="7">+OFFSET($A$1,MATCH($AJ4,$A:$A,0)-1,MATCH($AN$2,$E$1:$J$1,0)+3)</f>
        <v>3.3520000000000001E-2</v>
      </c>
      <c r="AO4" s="98">
        <f t="shared" ref="AO4:AO14" ca="1" si="8">+OFFSET($A$1,MATCH($AJ4,$A:$A,0)-1,MATCH($AO$2,$E$1:$J$1,0)+3)</f>
        <v>3.3309999999999999E-2</v>
      </c>
      <c r="AP4" s="98">
        <f t="shared" ref="AP4:AP14" ca="1" si="9">+OFFSET($A$1,MATCH($AJ4,$A:$A,0)-1,MATCH($AP$2,$E$1:$J$1,0)+3)</f>
        <v>3.3419999999999998E-2</v>
      </c>
      <c r="AQ4" s="77">
        <f t="shared" ref="AQ4:AQ14" ca="1" si="10">+OFFSET($A$1,MATCH($AJ4,$A:$A,0)-1,MATCH($AQ$2,$E$1:$J$1,0)+3)</f>
        <v>107.14</v>
      </c>
      <c r="AR4" s="77">
        <f t="shared" ref="AR4:AR14" ca="1" si="11">+OFFSET($A$1,MATCH($AJ4,$A:$A,0)-1,MATCH($AR$2,$E$1:$J$1,0)+3)</f>
        <v>107.224</v>
      </c>
      <c r="AS4" s="77">
        <f t="shared" ref="AS4:AS14" ca="1" si="12">+OFFSET($A$1,MATCH($AJ4,$A:$A,0)-1,MATCH($AS$2,$E$1:$J$1,0)+3)</f>
        <v>107.182</v>
      </c>
      <c r="AT4" s="73">
        <f ca="1">+(AK4-intercambio!$B$6)/365</f>
        <v>3.7890410958904108</v>
      </c>
      <c r="AU4" s="78">
        <v>5738504000</v>
      </c>
    </row>
    <row r="5" spans="1:47">
      <c r="A5" s="89" t="s">
        <v>242</v>
      </c>
      <c r="B5" s="158" t="str">
        <f ca="1">+OFFSET(bd_bonos!$A$1,MATCH(bond_calc!$A5,bd_bonos!$A:$A,0)-1,11)</f>
        <v>25/08/2027</v>
      </c>
      <c r="C5" s="98">
        <f ca="1">+OFFSET(bd_bonos!$A$1,MATCH(bond_calc!$A5,bd_bonos!$A:$A,0)-1,4)/100</f>
        <v>4.1250000000000002E-2</v>
      </c>
      <c r="D5" s="158" t="str">
        <f ca="1">+OFFSET(bd_bonos!$A$1,MATCH(bond_calc!$A5,bd_bonos!$A:$A,0)-1,12)</f>
        <v>USD</v>
      </c>
      <c r="E5" s="98">
        <f ca="1">+OFFSET(bd_historicas!$A$1,MATCH($A5,bd_historicas!$D:$D,0)+3,MATCH(E$1,bd_historicas!$D$4:$J$4,0)+2)/100</f>
        <v>2.6459999999999997E-2</v>
      </c>
      <c r="F5" s="98">
        <f ca="1">+OFFSET(bd_historicas!$A$1,MATCH($A5,bd_historicas!$D:$D,0)+3,MATCH(F$1,bd_historicas!$D$4:$J$4,0)+2)/100</f>
        <v>2.6019999999999998E-2</v>
      </c>
      <c r="G5" s="98">
        <f ca="1">+OFFSET(bd_historicas!$A$1,MATCH($A5,bd_historicas!$D:$D,0)+3,MATCH(G$1,bd_historicas!$D$4:$J$4,0)+2)/100</f>
        <v>2.6239999999999999E-2</v>
      </c>
      <c r="H5" s="77">
        <f ca="1">+OFFSET(bd_historicas!$A$1,MATCH($A5,bd_historicas!$D:$D,0)+3,MATCH(H$1,bd_historicas!$D$4:$J$4,0)+2)</f>
        <v>110.819</v>
      </c>
      <c r="I5" s="77">
        <f ca="1">+OFFSET(bd_historicas!$A$1,MATCH($A5,bd_historicas!$D:$D,0)+3,MATCH(I$1,bd_historicas!$D$4:$J$4,0)+2)</f>
        <v>111.166</v>
      </c>
      <c r="J5" s="77">
        <f ca="1">+OFFSET(bd_historicas!$A$1,MATCH($A5,bd_historicas!$D:$D,0)+3,MATCH(J$1,bd_historicas!$D$4:$J$4,0)+2)</f>
        <v>110.99299999999999</v>
      </c>
      <c r="K5" s="73">
        <f ca="1">+(B5-intercambio!$B$6)/365</f>
        <v>7.7424657534246579</v>
      </c>
      <c r="L5" s="99" t="e">
        <f ca="1">+IF($D5&lt;&gt;"PEN",((((1+_xll.Interp($K5,$AG$3:$AG$13,$AC$3:$AC$13))^(0.5)-1)*2)*365/360),$G5)</f>
        <v>#NAME?</v>
      </c>
      <c r="M5" s="99" t="e">
        <f ca="1">+IF($D5&lt;&gt;"PEN",_xll.Interp($K5,icap!$C$2:$C$11,icap!$F$2:$F$11),0)</f>
        <v>#NAME?</v>
      </c>
      <c r="N5" s="99" t="e">
        <f t="shared" ref="N5:N27" ca="1" si="13">+L5-M5</f>
        <v>#NAME?</v>
      </c>
      <c r="O5" s="77"/>
      <c r="P5" s="99" t="e">
        <f t="shared" ca="1" si="0"/>
        <v>#NAME?</v>
      </c>
      <c r="Q5" s="77"/>
      <c r="R5" s="77"/>
      <c r="S5" s="77" t="e">
        <f ca="1">+IF($D5="PEN",J5,IF(OR($D5="USD",$D5="EUR"),PRICE(intercambio!$B$6,bond_calc!$B5,bond_calc!$C5,bond_calc!$N5,100,2,0)))</f>
        <v>#NAME?</v>
      </c>
      <c r="T5" s="78">
        <f ca="1">+OFFSET(bd_bonos!$A$1,MATCH(bond_calc!$A5,bd_bonos!$A$1:$A$28,0)-1,33)</f>
        <v>1250000000</v>
      </c>
      <c r="U5" s="134">
        <f ca="1">+IF(OFFSET(bd_schd!$C$1,MATCH(bond_calc!A5,bd_schd!$C:$C,0)-1,2)=0,"",OFFSET(bd_schd!$C$1,MATCH(bond_calc!A5,bd_schd!$C:$C,0)-1,2))</f>
        <v>43702</v>
      </c>
      <c r="V5" s="133">
        <f ca="1">+IF(OFFSET(bd_schd!$C$1,MATCH(bond_calc!A5,bd_schd!$C:$C,0)-1,3)=0,"",OFFSET(bd_schd!$C$1,MATCH(bond_calc!A5,bd_schd!$C:$C,0)-1,3))</f>
        <v>43886</v>
      </c>
      <c r="W5" s="76" t="s">
        <v>118</v>
      </c>
      <c r="X5" s="158" t="str">
        <f ca="1">+OFFSET(bd_bonos!$A$1,MATCH(bond_calc!$W5,bd_bonos!$A:$A,0)-1,11)</f>
        <v>12/08/2024</v>
      </c>
      <c r="Y5" s="77">
        <f ca="1">+OFFSET(bd_bonos!$A$1,MATCH(bond_calc!$W5,bd_bonos!$A:$A,0)-1,4)</f>
        <v>5.7</v>
      </c>
      <c r="Z5" s="158" t="str">
        <f ca="1">+OFFSET(bd_bonos!$A$1,MATCH(bond_calc!$W5,bd_bonos!$A:$A,0)-1,12)</f>
        <v>PEN</v>
      </c>
      <c r="AA5" s="98">
        <f t="shared" ca="1" si="1"/>
        <v>3.6659999999999998E-2</v>
      </c>
      <c r="AB5" s="98">
        <f t="shared" ca="1" si="2"/>
        <v>3.6490000000000002E-2</v>
      </c>
      <c r="AC5" s="98">
        <f t="shared" ca="1" si="3"/>
        <v>3.6569999999999998E-2</v>
      </c>
      <c r="AD5" s="77">
        <f t="shared" ca="1" si="4"/>
        <v>109.363</v>
      </c>
      <c r="AE5" s="77">
        <f t="shared" ca="1" si="5"/>
        <v>109.446</v>
      </c>
      <c r="AF5" s="77">
        <f t="shared" ca="1" si="6"/>
        <v>109.405</v>
      </c>
      <c r="AG5" s="73">
        <f ca="1">+(X5-intercambio!$B$6)/365</f>
        <v>4.7068493150684931</v>
      </c>
      <c r="AH5" s="73"/>
      <c r="AJ5" s="76" t="s">
        <v>118</v>
      </c>
      <c r="AK5" s="76" t="str">
        <f ca="1">+OFFSET(bd_bonos!$A$1,MATCH(bond_calc!$AJ5,bd_bonos!$A$1:$A$28,0)-1,11)</f>
        <v>12/08/2024</v>
      </c>
      <c r="AL5" s="77">
        <f ca="1">+OFFSET(bd_bonos!$A$1,MATCH(bond_calc!$AJ5,bd_bonos!$A$1:$A$28,0)-1,4)</f>
        <v>5.7</v>
      </c>
      <c r="AM5" s="76" t="str">
        <f ca="1">+OFFSET(bd_bonos!$A$1,MATCH(bond_calc!$AJ5,bd_bonos!$A$1:$A$28,0)-1,12)</f>
        <v>PEN</v>
      </c>
      <c r="AN5" s="98">
        <f t="shared" ca="1" si="7"/>
        <v>3.6659999999999998E-2</v>
      </c>
      <c r="AO5" s="98">
        <f t="shared" ca="1" si="8"/>
        <v>3.6490000000000002E-2</v>
      </c>
      <c r="AP5" s="98">
        <f t="shared" ca="1" si="9"/>
        <v>3.6569999999999998E-2</v>
      </c>
      <c r="AQ5" s="77">
        <f t="shared" ca="1" si="10"/>
        <v>109.363</v>
      </c>
      <c r="AR5" s="77">
        <f t="shared" ca="1" si="11"/>
        <v>109.446</v>
      </c>
      <c r="AS5" s="77">
        <f t="shared" ca="1" si="12"/>
        <v>109.405</v>
      </c>
      <c r="AT5" s="73">
        <f ca="1">+(AK5-intercambio!$B$6)/365</f>
        <v>4.7068493150684931</v>
      </c>
      <c r="AU5" s="78">
        <v>11030648000</v>
      </c>
    </row>
    <row r="6" spans="1:47">
      <c r="A6" s="135" t="s">
        <v>247</v>
      </c>
      <c r="B6" s="158" t="str">
        <f ca="1">+OFFSET(bd_bonos!$A$1,MATCH(bond_calc!$A6,bd_bonos!$A:$A,0)-1,11)</f>
        <v>01/03/2030</v>
      </c>
      <c r="C6" s="98">
        <f ca="1">+OFFSET(bd_bonos!$A$1,MATCH(bond_calc!$A6,bd_bonos!$A:$A,0)-1,4)/100</f>
        <v>3.7499999999999999E-2</v>
      </c>
      <c r="D6" s="158" t="str">
        <f ca="1">+OFFSET(bd_bonos!$A$1,MATCH(bond_calc!$A6,bd_bonos!$A:$A,0)-1,12)</f>
        <v>EUR</v>
      </c>
      <c r="E6" s="98">
        <f ca="1">+OFFSET(bd_historicas!$A$1,MATCH($A6,bd_historicas!$D:$D,0)+3,MATCH(E$1,bd_historicas!$D$4:$J$4,0)+2)/100</f>
        <v>1.2699999999999999E-2</v>
      </c>
      <c r="F6" s="98">
        <f ca="1">+OFFSET(bd_historicas!$A$1,MATCH($A6,bd_historicas!$D:$D,0)+3,MATCH(F$1,bd_historicas!$D$4:$J$4,0)+2)/100</f>
        <v>1.209E-2</v>
      </c>
      <c r="G6" s="98">
        <f ca="1">+OFFSET(bd_historicas!$A$1,MATCH($A6,bd_historicas!$D:$D,0)+3,MATCH(G$1,bd_historicas!$D$4:$J$4,0)+2)/100</f>
        <v>1.24E-2</v>
      </c>
      <c r="H6" s="77">
        <f ca="1">+OFFSET(bd_historicas!$A$1,MATCH($A6,bd_historicas!$D:$D,0)+3,MATCH(H$1,bd_historicas!$D$4:$J$4,0)+2)</f>
        <v>124.66500000000001</v>
      </c>
      <c r="I6" s="77">
        <f ca="1">+OFFSET(bd_historicas!$A$1,MATCH($A6,bd_historicas!$D:$D,0)+3,MATCH(I$1,bd_historicas!$D$4:$J$4,0)+2)</f>
        <v>125.36</v>
      </c>
      <c r="J6" s="77">
        <f ca="1">+OFFSET(bd_historicas!$A$1,MATCH($A6,bd_historicas!$D:$D,0)+3,MATCH(J$1,bd_historicas!$D$4:$J$4,0)+2)</f>
        <v>125.01300000000001</v>
      </c>
      <c r="K6" s="73">
        <f ca="1">+(B6-intercambio!$B$6)/365</f>
        <v>10.260273972602739</v>
      </c>
      <c r="L6" s="99" t="e">
        <f ca="1">+IF($D6&lt;&gt;"PEN",((((1+_xll.Interp($K6,$AG$3:$AG$13,$AC$3:$AC$13))^(0.5)-1)*2)*365/360),$G6)</f>
        <v>#NAME?</v>
      </c>
      <c r="M6" s="99" t="e">
        <f ca="1">+IF($D6&lt;&gt;"PEN",_xll.Interp($K6,icap!$C$2:$C$11,icap!$F$2:$F$11),0)</f>
        <v>#NAME?</v>
      </c>
      <c r="N6" s="99" t="e">
        <f t="shared" ca="1" si="13"/>
        <v>#NAME?</v>
      </c>
      <c r="O6" s="77"/>
      <c r="P6" s="99" t="str">
        <f t="shared" ca="1" si="0"/>
        <v/>
      </c>
      <c r="Q6" s="77"/>
      <c r="R6" s="77"/>
      <c r="S6" s="77" t="e">
        <f ca="1">+IF($D6="PEN",J6,IF(OR($D6="USD",$D6="EUR"),PRICE(intercambio!$B$6,bond_calc!$B6,bond_calc!$C6,bond_calc!$N6,100,2,0)))</f>
        <v>#NAME?</v>
      </c>
      <c r="T6" s="78">
        <f ca="1">+OFFSET(bd_bonos!$A$1,MATCH(bond_calc!$A6,bd_bonos!$A$1:$A$28,0)-1,33)</f>
        <v>1000000000</v>
      </c>
      <c r="U6" s="134">
        <f ca="1">+IF(OFFSET(bd_schd!$C$1,MATCH(bond_calc!A6,bd_schd!$C:$C,0)-1,2)=0,"",OFFSET(bd_schd!$C$1,MATCH(bond_calc!A6,bd_schd!$C:$C,0)-1,2))</f>
        <v>43525</v>
      </c>
      <c r="V6" s="133">
        <f ca="1">+IF(OFFSET(bd_schd!$C$1,MATCH(bond_calc!A6,bd_schd!$C:$C,0)-1,3)=0,"",OFFSET(bd_schd!$C$1,MATCH(bond_calc!A6,bd_schd!$C:$C,0)-1,3))</f>
        <v>43891</v>
      </c>
      <c r="W6" s="76" t="s">
        <v>119</v>
      </c>
      <c r="X6" s="158" t="str">
        <f ca="1">+OFFSET(bd_bonos!$A$1,MATCH(bond_calc!$W6,bd_bonos!$A:$A,0)-1,11)</f>
        <v>12/08/2026</v>
      </c>
      <c r="Y6" s="77">
        <f ca="1">+OFFSET(bd_bonos!$A$1,MATCH(bond_calc!$W6,bd_bonos!$A:$A,0)-1,4)</f>
        <v>8.1999999999999993</v>
      </c>
      <c r="Z6" s="158" t="str">
        <f ca="1">+OFFSET(bd_bonos!$A$1,MATCH(bond_calc!$W6,bd_bonos!$A:$A,0)-1,12)</f>
        <v>PEN</v>
      </c>
      <c r="AA6" s="98">
        <f t="shared" ca="1" si="1"/>
        <v>4.2750000000000003E-2</v>
      </c>
      <c r="AB6" s="98">
        <f t="shared" ca="1" si="2"/>
        <v>4.2599999999999999E-2</v>
      </c>
      <c r="AC6" s="98">
        <f t="shared" ca="1" si="3"/>
        <v>4.2670000000000007E-2</v>
      </c>
      <c r="AD6" s="77">
        <f t="shared" ca="1" si="4"/>
        <v>123.834</v>
      </c>
      <c r="AE6" s="77">
        <f t="shared" ca="1" si="5"/>
        <v>123.93899999999999</v>
      </c>
      <c r="AF6" s="77">
        <f t="shared" ca="1" si="6"/>
        <v>123.887</v>
      </c>
      <c r="AG6" s="73">
        <f ca="1">+(X6-intercambio!$B$6)/365</f>
        <v>6.7068493150684931</v>
      </c>
      <c r="AH6" s="73"/>
      <c r="AJ6" s="76" t="s">
        <v>119</v>
      </c>
      <c r="AK6" s="76" t="str">
        <f ca="1">+OFFSET(bd_bonos!$A$1,MATCH(bond_calc!$AJ6,bd_bonos!$A$1:$A$28,0)-1,11)</f>
        <v>12/08/2026</v>
      </c>
      <c r="AL6" s="77">
        <f ca="1">+OFFSET(bd_bonos!$A$1,MATCH(bond_calc!$AJ6,bd_bonos!$A$1:$A$28,0)-1,4)</f>
        <v>8.1999999999999993</v>
      </c>
      <c r="AM6" s="76" t="str">
        <f ca="1">+OFFSET(bd_bonos!$A$1,MATCH(bond_calc!$AJ6,bd_bonos!$A$1:$A$28,0)-1,12)</f>
        <v>PEN</v>
      </c>
      <c r="AN6" s="98">
        <f t="shared" ca="1" si="7"/>
        <v>4.2750000000000003E-2</v>
      </c>
      <c r="AO6" s="98">
        <f t="shared" ca="1" si="8"/>
        <v>4.2599999999999999E-2</v>
      </c>
      <c r="AP6" s="98">
        <f t="shared" ca="1" si="9"/>
        <v>4.2670000000000007E-2</v>
      </c>
      <c r="AQ6" s="77">
        <f t="shared" ca="1" si="10"/>
        <v>123.834</v>
      </c>
      <c r="AR6" s="77">
        <f t="shared" ca="1" si="11"/>
        <v>123.93899999999999</v>
      </c>
      <c r="AS6" s="77">
        <f t="shared" ca="1" si="12"/>
        <v>123.887</v>
      </c>
      <c r="AT6" s="73">
        <f ca="1">+(AK6-intercambio!$B$6)/365</f>
        <v>6.7068493150684931</v>
      </c>
      <c r="AU6" s="78">
        <v>12515340000</v>
      </c>
    </row>
    <row r="7" spans="1:47">
      <c r="A7" s="89" t="s">
        <v>252</v>
      </c>
      <c r="B7" s="158" t="str">
        <f ca="1">+OFFSET(bd_bonos!$A$1,MATCH(bond_calc!$A7,bd_bonos!$A:$A,0)-1,11)</f>
        <v>21/11/2033</v>
      </c>
      <c r="C7" s="98">
        <f ca="1">+OFFSET(bd_bonos!$A$1,MATCH(bond_calc!$A7,bd_bonos!$A:$A,0)-1,4)/100</f>
        <v>8.7499999999999994E-2</v>
      </c>
      <c r="D7" s="158" t="str">
        <f ca="1">+OFFSET(bd_bonos!$A$1,MATCH(bond_calc!$A7,bd_bonos!$A:$A,0)-1,12)</f>
        <v>USD</v>
      </c>
      <c r="E7" s="98">
        <f ca="1">+OFFSET(bd_historicas!$A$1,MATCH($A7,bd_historicas!$D:$D,0)+3,MATCH(E$1,bd_historicas!$D$4:$J$4,0)+2)/100</f>
        <v>3.4630000000000001E-2</v>
      </c>
      <c r="F7" s="98">
        <f ca="1">+OFFSET(bd_historicas!$A$1,MATCH($A7,bd_historicas!$D:$D,0)+3,MATCH(F$1,bd_historicas!$D$4:$J$4,0)+2)/100</f>
        <v>3.4290000000000001E-2</v>
      </c>
      <c r="G7" s="98">
        <f ca="1">+OFFSET(bd_historicas!$A$1,MATCH($A7,bd_historicas!$D:$D,0)+3,MATCH(G$1,bd_historicas!$D$4:$J$4,0)+2)/100</f>
        <v>3.4460000000000005E-2</v>
      </c>
      <c r="H7" s="77">
        <f ca="1">+OFFSET(bd_historicas!$A$1,MATCH($A7,bd_historicas!$D:$D,0)+3,MATCH(H$1,bd_historicas!$D$4:$J$4,0)+2)</f>
        <v>159.63300000000001</v>
      </c>
      <c r="I7" s="77">
        <f ca="1">+OFFSET(bd_historicas!$A$1,MATCH($A7,bd_historicas!$D:$D,0)+3,MATCH(I$1,bd_historicas!$D$4:$J$4,0)+2)</f>
        <v>160.15700000000001</v>
      </c>
      <c r="J7" s="77">
        <f ca="1">+OFFSET(bd_historicas!$A$1,MATCH($A7,bd_historicas!$D:$D,0)+3,MATCH(J$1,bd_historicas!$D$4:$J$4,0)+2)</f>
        <v>159.89500000000001</v>
      </c>
      <c r="K7" s="73">
        <f ca="1">+(B7-intercambio!$B$6)/365</f>
        <v>13.989041095890411</v>
      </c>
      <c r="L7" s="99" t="e">
        <f ca="1">+IF($D7&lt;&gt;"PEN",((((1+_xll.Interp($K7,$AG$3:$AG$13,$AC$3:$AC$13))^(0.5)-1)*2)*365/360),$G7)</f>
        <v>#NAME?</v>
      </c>
      <c r="M7" s="99" t="e">
        <f ca="1">+IF($D7&lt;&gt;"PEN",_xll.Interp($K7,icap!$C$2:$C$11,icap!$F$2:$F$11),0)</f>
        <v>#NAME?</v>
      </c>
      <c r="N7" s="99" t="e">
        <f t="shared" ca="1" si="13"/>
        <v>#NAME?</v>
      </c>
      <c r="O7" s="77"/>
      <c r="P7" s="99" t="e">
        <f t="shared" ca="1" si="0"/>
        <v>#NAME?</v>
      </c>
      <c r="Q7" s="77"/>
      <c r="R7" s="77"/>
      <c r="S7" s="77" t="e">
        <f ca="1">+IF($D7="PEN",J7,IF(OR($D7="USD",$D7="EUR"),PRICE(intercambio!$B$6,bond_calc!$B7,bond_calc!$C7,bond_calc!$N7,100,2,0)))</f>
        <v>#NAME?</v>
      </c>
      <c r="T7" s="78">
        <f ca="1">+OFFSET(bd_bonos!$A$1,MATCH(bond_calc!$A7,bd_bonos!$A$1:$A$28,0)-1,33)</f>
        <v>2188329000</v>
      </c>
      <c r="U7" s="134">
        <f ca="1">+IF(OFFSET(bd_schd!$C$1,MATCH(bond_calc!A7,bd_schd!$C:$C,0)-1,2)=0,"",OFFSET(bd_schd!$C$1,MATCH(bond_calc!A7,bd_schd!$C:$C,0)-1,2))</f>
        <v>43790</v>
      </c>
      <c r="V7" s="133">
        <f ca="1">+IF(OFFSET(bd_schd!$C$1,MATCH(bond_calc!A7,bd_schd!$C:$C,0)-1,3)=0,"",OFFSET(bd_schd!$C$1,MATCH(bond_calc!A7,bd_schd!$C:$C,0)-1,3))</f>
        <v>43972</v>
      </c>
      <c r="W7" s="76" t="s">
        <v>120</v>
      </c>
      <c r="X7" s="158" t="str">
        <f ca="1">+OFFSET(bd_bonos!$A$1,MATCH(bond_calc!$W7,bd_bonos!$A:$A,0)-1,11)</f>
        <v>12/08/2028</v>
      </c>
      <c r="Y7" s="77">
        <f ca="1">+OFFSET(bd_bonos!$A$1,MATCH(bond_calc!$W7,bd_bonos!$A:$A,0)-1,4)</f>
        <v>6.35</v>
      </c>
      <c r="Z7" s="158" t="str">
        <f ca="1">+OFFSET(bd_bonos!$A$1,MATCH(bond_calc!$W7,bd_bonos!$A:$A,0)-1,12)</f>
        <v>PEN</v>
      </c>
      <c r="AA7" s="98">
        <f t="shared" ca="1" si="1"/>
        <v>4.7500000000000001E-2</v>
      </c>
      <c r="AB7" s="98">
        <f t="shared" ca="1" si="2"/>
        <v>4.7289999999999999E-2</v>
      </c>
      <c r="AC7" s="98">
        <f t="shared" ca="1" si="3"/>
        <v>4.7400000000000005E-2</v>
      </c>
      <c r="AD7" s="77">
        <f t="shared" ca="1" si="4"/>
        <v>111.642</v>
      </c>
      <c r="AE7" s="77">
        <f t="shared" ca="1" si="5"/>
        <v>111.8</v>
      </c>
      <c r="AF7" s="77">
        <f t="shared" ca="1" si="6"/>
        <v>111.721</v>
      </c>
      <c r="AG7" s="73">
        <f ca="1">+(X7-intercambio!$B$6)/365</f>
        <v>8.7095890410958905</v>
      </c>
      <c r="AH7" s="73"/>
      <c r="AJ7" s="76" t="s">
        <v>120</v>
      </c>
      <c r="AK7" s="76" t="str">
        <f ca="1">+OFFSET(bd_bonos!$A$1,MATCH(bond_calc!$AJ7,bd_bonos!$A$1:$A$28,0)-1,11)</f>
        <v>12/08/2028</v>
      </c>
      <c r="AL7" s="77">
        <f ca="1">+OFFSET(bd_bonos!$A$1,MATCH(bond_calc!$AJ7,bd_bonos!$A$1:$A$28,0)-1,4)</f>
        <v>6.35</v>
      </c>
      <c r="AM7" s="76" t="str">
        <f ca="1">+OFFSET(bd_bonos!$A$1,MATCH(bond_calc!$AJ7,bd_bonos!$A$1:$A$28,0)-1,12)</f>
        <v>PEN</v>
      </c>
      <c r="AN7" s="98">
        <f t="shared" ca="1" si="7"/>
        <v>4.7500000000000001E-2</v>
      </c>
      <c r="AO7" s="98">
        <f t="shared" ca="1" si="8"/>
        <v>4.7289999999999999E-2</v>
      </c>
      <c r="AP7" s="98">
        <f t="shared" ca="1" si="9"/>
        <v>4.7400000000000005E-2</v>
      </c>
      <c r="AQ7" s="77">
        <f t="shared" ca="1" si="10"/>
        <v>111.642</v>
      </c>
      <c r="AR7" s="77">
        <f t="shared" ca="1" si="11"/>
        <v>111.8</v>
      </c>
      <c r="AS7" s="77">
        <f t="shared" ca="1" si="12"/>
        <v>111.721</v>
      </c>
      <c r="AT7" s="73">
        <f ca="1">+(AK7-intercambio!$B$6)/365</f>
        <v>8.7095890410958905</v>
      </c>
      <c r="AU7" s="78">
        <v>14246160000</v>
      </c>
    </row>
    <row r="8" spans="1:47">
      <c r="A8" s="89" t="s">
        <v>258</v>
      </c>
      <c r="B8" s="158" t="str">
        <f ca="1">+OFFSET(bd_bonos!$A$1,MATCH(bond_calc!$A8,bd_bonos!$A:$A,0)-1,11)</f>
        <v>14/03/2037</v>
      </c>
      <c r="C8" s="98">
        <f ca="1">+OFFSET(bd_bonos!$A$1,MATCH(bond_calc!$A8,bd_bonos!$A:$A,0)-1,4)/100</f>
        <v>6.5500000000000003E-2</v>
      </c>
      <c r="D8" s="158" t="str">
        <f ca="1">+OFFSET(bd_bonos!$A$1,MATCH(bond_calc!$A8,bd_bonos!$A:$A,0)-1,12)</f>
        <v>USD</v>
      </c>
      <c r="E8" s="98">
        <f ca="1">+OFFSET(bd_historicas!$A$1,MATCH($A8,bd_historicas!$D:$D,0)+3,MATCH(E$1,bd_historicas!$D$4:$J$4,0)+2)/100</f>
        <v>3.5439999999999999E-2</v>
      </c>
      <c r="F8" s="98">
        <f ca="1">+OFFSET(bd_historicas!$A$1,MATCH($A8,bd_historicas!$D:$D,0)+3,MATCH(F$1,bd_historicas!$D$4:$J$4,0)+2)/100</f>
        <v>3.5119999999999998E-2</v>
      </c>
      <c r="G8" s="98">
        <f ca="1">+OFFSET(bd_historicas!$A$1,MATCH($A8,bd_historicas!$D:$D,0)+3,MATCH(G$1,bd_historicas!$D$4:$J$4,0)+2)/100</f>
        <v>3.5279999999999999E-2</v>
      </c>
      <c r="H8" s="77">
        <f ca="1">+OFFSET(bd_historicas!$A$1,MATCH($A8,bd_historicas!$D:$D,0)+3,MATCH(H$1,bd_historicas!$D$4:$J$4,0)+2)</f>
        <v>139.33500000000001</v>
      </c>
      <c r="I8" s="77">
        <f ca="1">+OFFSET(bd_historicas!$A$1,MATCH($A8,bd_historicas!$D:$D,0)+3,MATCH(I$1,bd_historicas!$D$4:$J$4,0)+2)</f>
        <v>139.86000000000001</v>
      </c>
      <c r="J8" s="77">
        <f ca="1">+OFFSET(bd_historicas!$A$1,MATCH($A8,bd_historicas!$D:$D,0)+3,MATCH(J$1,bd_historicas!$D$4:$J$4,0)+2)</f>
        <v>139.59800000000001</v>
      </c>
      <c r="K8" s="73">
        <f ca="1">+(B8-intercambio!$B$6)/365</f>
        <v>17.301369863013697</v>
      </c>
      <c r="L8" s="99" t="e">
        <f ca="1">+IF($D8&lt;&gt;"PEN",((((1+_xll.Interp($K8,$AG$3:$AG$13,$AC$3:$AC$13))^(0.5)-1)*2)*365/360),$G8)</f>
        <v>#NAME?</v>
      </c>
      <c r="M8" s="99" t="e">
        <f ca="1">+IF($D8&lt;&gt;"PEN",_xll.Interp($K8,icap!$C$2:$C$11,icap!$F$2:$F$11),0)</f>
        <v>#NAME?</v>
      </c>
      <c r="N8" s="99" t="e">
        <f t="shared" ca="1" si="13"/>
        <v>#NAME?</v>
      </c>
      <c r="O8" s="77"/>
      <c r="P8" s="99" t="e">
        <f t="shared" ca="1" si="0"/>
        <v>#NAME?</v>
      </c>
      <c r="Q8" s="77"/>
      <c r="R8" s="77"/>
      <c r="S8" s="77" t="e">
        <f ca="1">+IF($D8="PEN",J8,IF(OR($D8="USD",$D8="EUR"),PRICE(intercambio!$B$6,bond_calc!$B8,bond_calc!$C8,bond_calc!$N8,100,2,0)))</f>
        <v>#NAME?</v>
      </c>
      <c r="T8" s="78">
        <f ca="1">+OFFSET(bd_bonos!$A$1,MATCH(bond_calc!$A8,bd_bonos!$A$1:$A$28,0)-1,33)</f>
        <v>1164563000</v>
      </c>
      <c r="U8" s="134">
        <f ca="1">+IF(OFFSET(bd_schd!$C$1,MATCH(bond_calc!A8,bd_schd!$C:$C,0)-1,2)=0,"",OFFSET(bd_schd!$C$1,MATCH(bond_calc!A8,bd_schd!$C:$C,0)-1,2))</f>
        <v>43722</v>
      </c>
      <c r="V8" s="133">
        <f ca="1">+IF(OFFSET(bd_schd!$C$1,MATCH(bond_calc!A8,bd_schd!$C:$C,0)-1,3)=0,"",OFFSET(bd_schd!$C$1,MATCH(bond_calc!A8,bd_schd!$C:$C,0)-1,3))</f>
        <v>43904</v>
      </c>
      <c r="W8" s="76" t="s">
        <v>121</v>
      </c>
      <c r="X8" s="158" t="str">
        <f ca="1">+OFFSET(bd_bonos!$A$1,MATCH(bond_calc!$W8,bd_bonos!$A:$A,0)-1,11)</f>
        <v>12/02/2029</v>
      </c>
      <c r="Y8" s="77">
        <f ca="1">+OFFSET(bd_bonos!$A$1,MATCH(bond_calc!$W8,bd_bonos!$A:$A,0)-1,4)</f>
        <v>6</v>
      </c>
      <c r="Z8" s="158" t="str">
        <f ca="1">+OFFSET(bd_bonos!$A$1,MATCH(bond_calc!$W8,bd_bonos!$A:$A,0)-1,12)</f>
        <v>PEN</v>
      </c>
      <c r="AA8" s="98">
        <f t="shared" ca="1" si="1"/>
        <v>0</v>
      </c>
      <c r="AB8" s="98">
        <f t="shared" ca="1" si="2"/>
        <v>0</v>
      </c>
      <c r="AC8" s="98">
        <f t="shared" ca="1" si="3"/>
        <v>0</v>
      </c>
      <c r="AD8" s="77">
        <f t="shared" ca="1" si="4"/>
        <v>0</v>
      </c>
      <c r="AE8" s="77">
        <f t="shared" ca="1" si="5"/>
        <v>0</v>
      </c>
      <c r="AF8" s="77">
        <f t="shared" ca="1" si="6"/>
        <v>0</v>
      </c>
      <c r="AG8" s="73">
        <f ca="1">+(X8-intercambio!$B$6)/365</f>
        <v>9.213698630136987</v>
      </c>
      <c r="AH8" s="73"/>
      <c r="AJ8" s="76" t="s">
        <v>121</v>
      </c>
      <c r="AK8" s="76" t="str">
        <f ca="1">+OFFSET(bd_bonos!$A$1,MATCH(bond_calc!$AJ8,bd_bonos!$A$1:$A$28,0)-1,11)</f>
        <v>12/02/2029</v>
      </c>
      <c r="AL8" s="77">
        <f ca="1">+OFFSET(bd_bonos!$A$1,MATCH(bond_calc!$AJ8,bd_bonos!$A$1:$A$28,0)-1,4)</f>
        <v>6</v>
      </c>
      <c r="AM8" s="76" t="str">
        <f ca="1">+OFFSET(bd_bonos!$A$1,MATCH(bond_calc!$AJ8,bd_bonos!$A$1:$A$28,0)-1,12)</f>
        <v>PEN</v>
      </c>
      <c r="AN8" s="98">
        <f t="shared" ca="1" si="7"/>
        <v>0</v>
      </c>
      <c r="AO8" s="98">
        <f t="shared" ca="1" si="8"/>
        <v>0</v>
      </c>
      <c r="AP8" s="98">
        <f t="shared" ca="1" si="9"/>
        <v>0</v>
      </c>
      <c r="AQ8" s="77">
        <f t="shared" ca="1" si="10"/>
        <v>0</v>
      </c>
      <c r="AR8" s="77">
        <f t="shared" ca="1" si="11"/>
        <v>0</v>
      </c>
      <c r="AS8" s="77">
        <f t="shared" ca="1" si="12"/>
        <v>0</v>
      </c>
      <c r="AT8" s="73">
        <f ca="1">+(AK8-intercambio!$B$6)/365</f>
        <v>9.213698630136987</v>
      </c>
      <c r="AU8" s="78">
        <v>38968999.999999769</v>
      </c>
    </row>
    <row r="9" spans="1:47">
      <c r="A9" s="89" t="s">
        <v>263</v>
      </c>
      <c r="B9" s="158" t="str">
        <f ca="1">+OFFSET(bd_bonos!$A$1,MATCH(bond_calc!$A9,bd_bonos!$A:$A,0)-1,11)</f>
        <v>18/11/2050</v>
      </c>
      <c r="C9" s="98">
        <f ca="1">+OFFSET(bd_bonos!$A$1,MATCH(bond_calc!$A9,bd_bonos!$A:$A,0)-1,4)/100</f>
        <v>5.6250000000000001E-2</v>
      </c>
      <c r="D9" s="158" t="str">
        <f ca="1">+OFFSET(bd_bonos!$A$1,MATCH(bond_calc!$A9,bd_bonos!$A:$A,0)-1,12)</f>
        <v>USD</v>
      </c>
      <c r="E9" s="98">
        <f ca="1">+OFFSET(bd_historicas!$A$1,MATCH($A9,bd_historicas!$D:$D,0)+3,MATCH(E$1,bd_historicas!$D$4:$J$4,0)+2)/100</f>
        <v>3.7290000000000004E-2</v>
      </c>
      <c r="F9" s="98">
        <f ca="1">+OFFSET(bd_historicas!$A$1,MATCH($A9,bd_historicas!$D:$D,0)+3,MATCH(F$1,bd_historicas!$D$4:$J$4,0)+2)/100</f>
        <v>3.7039999999999997E-2</v>
      </c>
      <c r="G9" s="98">
        <f ca="1">+OFFSET(bd_historicas!$A$1,MATCH($A9,bd_historicas!$D:$D,0)+3,MATCH(G$1,bd_historicas!$D$4:$J$4,0)+2)/100</f>
        <v>3.7170000000000002E-2</v>
      </c>
      <c r="H9" s="77">
        <f ca="1">+OFFSET(bd_historicas!$A$1,MATCH($A9,bd_historicas!$D:$D,0)+3,MATCH(H$1,bd_historicas!$D$4:$J$4,0)+2)</f>
        <v>134.923</v>
      </c>
      <c r="I9" s="77">
        <f ca="1">+OFFSET(bd_historicas!$A$1,MATCH($A9,bd_historicas!$D:$D,0)+3,MATCH(I$1,bd_historicas!$D$4:$J$4,0)+2)</f>
        <v>135.47800000000001</v>
      </c>
      <c r="J9" s="77">
        <f ca="1">+OFFSET(bd_historicas!$A$1,MATCH($A9,bd_historicas!$D:$D,0)+3,MATCH(J$1,bd_historicas!$D$4:$J$4,0)+2)</f>
        <v>135.20099999999999</v>
      </c>
      <c r="K9" s="73">
        <f ca="1">+(B9-intercambio!$B$6)/365</f>
        <v>30.991780821917807</v>
      </c>
      <c r="L9" s="99" t="e">
        <f ca="1">+IF($D9&lt;&gt;"PEN",((((1+_xll.Interp($K9,$AG$3:$AG$13,$AC$3:$AC$13))^(0.5)-1)*2)*365/360),$G9)</f>
        <v>#NAME?</v>
      </c>
      <c r="M9" s="99" t="e">
        <f ca="1">+IF($D9&lt;&gt;"PEN",_xll.Interp($K9,icap!$C$2:$C$11,icap!$F$2:$F$11),0)</f>
        <v>#NAME?</v>
      </c>
      <c r="N9" s="99" t="e">
        <f t="shared" ca="1" si="13"/>
        <v>#NAME?</v>
      </c>
      <c r="O9" s="77"/>
      <c r="P9" s="99" t="e">
        <f t="shared" ca="1" si="0"/>
        <v>#NAME?</v>
      </c>
      <c r="Q9" s="77"/>
      <c r="R9" s="77"/>
      <c r="S9" s="77" t="e">
        <f ca="1">+IF($D9="PEN",J9,IF(OR($D9="USD",$D9="EUR"),PRICE(intercambio!$B$6,bond_calc!$B9,bond_calc!$C9,bond_calc!$N9,100,2,0)))</f>
        <v>#NAME?</v>
      </c>
      <c r="T9" s="78">
        <f ca="1">+OFFSET(bd_bonos!$A$1,MATCH(bond_calc!$A9,bd_bonos!$A$1:$A$28,0)-1,33)</f>
        <v>2545000000</v>
      </c>
      <c r="U9" s="134">
        <f ca="1">+IF(OFFSET(bd_schd!$C$1,MATCH(bond_calc!A9,bd_schd!$C:$C,0)-1,2)=0,"",OFFSET(bd_schd!$C$1,MATCH(bond_calc!A9,bd_schd!$C:$C,0)-1,2))</f>
        <v>43787</v>
      </c>
      <c r="V9" s="133">
        <f ca="1">+IF(OFFSET(bd_schd!$C$1,MATCH(bond_calc!A9,bd_schd!$C:$C,0)-1,3)=0,"",OFFSET(bd_schd!$C$1,MATCH(bond_calc!A9,bd_schd!$C:$C,0)-1,3))</f>
        <v>43969</v>
      </c>
      <c r="W9" s="76" t="s">
        <v>122</v>
      </c>
      <c r="X9" s="158" t="str">
        <f ca="1">+OFFSET(bd_bonos!$A$1,MATCH(bond_calc!$W9,bd_bonos!$A:$A,0)-1,11)</f>
        <v>12/08/2031</v>
      </c>
      <c r="Y9" s="77">
        <f ca="1">+OFFSET(bd_bonos!$A$1,MATCH(bond_calc!$W9,bd_bonos!$A:$A,0)-1,4)</f>
        <v>6.95</v>
      </c>
      <c r="Z9" s="158" t="str">
        <f ca="1">+OFFSET(bd_bonos!$A$1,MATCH(bond_calc!$W9,bd_bonos!$A:$A,0)-1,12)</f>
        <v>PEN</v>
      </c>
      <c r="AA9" s="98">
        <f t="shared" ca="1" si="1"/>
        <v>5.2049999999999999E-2</v>
      </c>
      <c r="AB9" s="98">
        <f t="shared" ca="1" si="2"/>
        <v>5.1830000000000001E-2</v>
      </c>
      <c r="AC9" s="98">
        <f t="shared" ca="1" si="3"/>
        <v>5.194E-2</v>
      </c>
      <c r="AD9" s="77">
        <f t="shared" ca="1" si="4"/>
        <v>115.461</v>
      </c>
      <c r="AE9" s="77">
        <f t="shared" ca="1" si="5"/>
        <v>115.672</v>
      </c>
      <c r="AF9" s="77">
        <f t="shared" ca="1" si="6"/>
        <v>115.566</v>
      </c>
      <c r="AG9" s="73">
        <f ca="1">+(X9-intercambio!$B$6)/365</f>
        <v>11.70958904109589</v>
      </c>
      <c r="AH9" s="73"/>
      <c r="AJ9" s="76" t="s">
        <v>127</v>
      </c>
      <c r="AK9" s="76" t="str">
        <f ca="1">+OFFSET(bd_bonos!$A$1,MATCH(bond_calc!$AJ9,bd_bonos!$A$1:$A$28,0)-1,11)</f>
        <v>12/02/2029</v>
      </c>
      <c r="AL9" s="77">
        <f ca="1">+OFFSET(bd_bonos!$A$1,MATCH(bond_calc!$AJ9,bd_bonos!$A$1:$A$28,0)-1,4)</f>
        <v>5.94</v>
      </c>
      <c r="AM9" s="76" t="str">
        <f ca="1">+OFFSET(bd_bonos!$A$1,MATCH(bond_calc!$AJ9,bd_bonos!$A$1:$A$28,0)-1,12)</f>
        <v>PEN</v>
      </c>
      <c r="AN9" s="98">
        <f t="shared" ca="1" si="7"/>
        <v>4.9480000000000003E-2</v>
      </c>
      <c r="AO9" s="98">
        <f t="shared" ca="1" si="8"/>
        <v>4.9259999999999998E-2</v>
      </c>
      <c r="AP9" s="98">
        <f t="shared" ca="1" si="9"/>
        <v>4.9370000000000004E-2</v>
      </c>
      <c r="AQ9" s="77">
        <f t="shared" ca="1" si="10"/>
        <v>107.417</v>
      </c>
      <c r="AR9" s="77">
        <f t="shared" ca="1" si="11"/>
        <v>107.59399999999999</v>
      </c>
      <c r="AS9" s="77">
        <f t="shared" ca="1" si="12"/>
        <v>107.506</v>
      </c>
      <c r="AT9" s="73">
        <f ca="1">+(AK9-intercambio!$B$6)/365</f>
        <v>9.213698630136987</v>
      </c>
      <c r="AU9" s="78">
        <v>10350000000</v>
      </c>
    </row>
    <row r="10" spans="1:47">
      <c r="A10" s="89" t="s">
        <v>116</v>
      </c>
      <c r="B10" s="158" t="str">
        <f ca="1">+OFFSET(bd_bonos!$A$1,MATCH(bond_calc!$A10,bd_bonos!$A:$A,0)-1,11)</f>
        <v>12/08/2020</v>
      </c>
      <c r="C10" s="98">
        <f ca="1">+OFFSET(bd_bonos!$A$1,MATCH(bond_calc!$A10,bd_bonos!$A:$A,0)-1,4)/100</f>
        <v>7.8399999999999997E-2</v>
      </c>
      <c r="D10" s="158" t="str">
        <f ca="1">+OFFSET(bd_bonos!$A$1,MATCH(bond_calc!$A10,bd_bonos!$A:$A,0)-1,12)</f>
        <v>PEN</v>
      </c>
      <c r="E10" s="98">
        <f ca="1">+OFFSET(bd_historicas!$A$1,MATCH($A10,bd_historicas!$D:$D,0)+3,MATCH(E$1,bd_historicas!$D$4:$J$4,0)+2)/100</f>
        <v>2.5840000000000002E-2</v>
      </c>
      <c r="F10" s="98">
        <f ca="1">+OFFSET(bd_historicas!$A$1,MATCH($A10,bd_historicas!$D:$D,0)+3,MATCH(F$1,bd_historicas!$D$4:$J$4,0)+2)/100</f>
        <v>2.5080000000000002E-2</v>
      </c>
      <c r="G10" s="98">
        <f ca="1">+OFFSET(bd_historicas!$A$1,MATCH($A10,bd_historicas!$D:$D,0)+3,MATCH(G$1,bd_historicas!$D$4:$J$4,0)+2)/100</f>
        <v>2.545E-2</v>
      </c>
      <c r="H10" s="77">
        <f ca="1">+OFFSET(bd_historicas!$A$1,MATCH($A10,bd_historicas!$D:$D,0)+3,MATCH(H$1,bd_historicas!$D$4:$J$4,0)+2)</f>
        <v>105.896</v>
      </c>
      <c r="I10" s="77">
        <f ca="1">+OFFSET(bd_historicas!$A$1,MATCH($A10,bd_historicas!$D:$D,0)+3,MATCH(I$1,bd_historicas!$D$4:$J$4,0)+2)</f>
        <v>105.985</v>
      </c>
      <c r="J10" s="77">
        <f ca="1">+OFFSET(bd_historicas!$A$1,MATCH($A10,bd_historicas!$D:$D,0)+3,MATCH(J$1,bd_historicas!$D$4:$J$4,0)+2)</f>
        <v>105.941</v>
      </c>
      <c r="K10" s="73">
        <f ca="1">+(B10-intercambio!$B$6)/365</f>
        <v>0.70410958904109588</v>
      </c>
      <c r="L10" s="99">
        <f ca="1">+IF($D10&lt;&gt;"PEN",((((1+_xll.Interp($K10,$AG$3:$AG$13,$AC$3:$AC$13))^(0.5)-1)*2)*365/360),$G10)</f>
        <v>2.545E-2</v>
      </c>
      <c r="M10" s="99">
        <f ca="1">+IF($D10&lt;&gt;"PEN",_xll.Interp($K10,icap!$C$2:$C$11,icap!$F$2:$F$11),0)</f>
        <v>0</v>
      </c>
      <c r="N10" s="99">
        <f t="shared" ca="1" si="13"/>
        <v>2.545E-2</v>
      </c>
      <c r="O10" s="77"/>
      <c r="P10" s="99">
        <f t="shared" ca="1" si="0"/>
        <v>2.545E-2</v>
      </c>
      <c r="Q10" s="77"/>
      <c r="R10" s="77"/>
      <c r="S10" s="77">
        <f ca="1">+IF($D10="PEN",J10,IF(OR($D10="USD",$D10="EUR"),PRICE(intercambio!$B$6,bond_calc!$B10,bond_calc!$C10,bond_calc!$N10,100,2,0)))</f>
        <v>105.941</v>
      </c>
      <c r="T10" s="78">
        <f ca="1">+OFFSET(bd_bonos!$A$1,MATCH(bond_calc!$A10,bd_bonos!$A$1:$A$28,0)-1,33)</f>
        <v>1573592000</v>
      </c>
      <c r="U10" s="134">
        <f ca="1">+IF(OFFSET(bd_schd!$C$1,MATCH(bond_calc!A10,bd_schd!$C:$C,0)-1,2)=0,"",OFFSET(bd_schd!$C$1,MATCH(bond_calc!A10,bd_schd!$C:$C,0)-1,2))</f>
        <v>43689</v>
      </c>
      <c r="V10" s="133">
        <f ca="1">+IF(OFFSET(bd_schd!$C$1,MATCH(bond_calc!A10,bd_schd!$C:$C,0)-1,3)=0,"",OFFSET(bd_schd!$C$1,MATCH(bond_calc!A10,bd_schd!$C:$C,0)-1,3))</f>
        <v>43873</v>
      </c>
      <c r="W10" s="76" t="s">
        <v>123</v>
      </c>
      <c r="X10" s="158" t="str">
        <f ca="1">+OFFSET(bd_bonos!$A$1,MATCH(bond_calc!$W10,bd_bonos!$A:$A,0)-1,11)</f>
        <v>12/08/2032</v>
      </c>
      <c r="Y10" s="77">
        <f ca="1">+OFFSET(bd_bonos!$A$1,MATCH(bond_calc!$W10,bd_bonos!$A:$A,0)-1,4)</f>
        <v>6.15</v>
      </c>
      <c r="Z10" s="158" t="str">
        <f ca="1">+OFFSET(bd_bonos!$A$1,MATCH(bond_calc!$W10,bd_bonos!$A:$A,0)-1,12)</f>
        <v>PEN</v>
      </c>
      <c r="AA10" s="98">
        <f t="shared" ca="1" si="1"/>
        <v>5.3040000000000004E-2</v>
      </c>
      <c r="AB10" s="98">
        <f t="shared" ca="1" si="2"/>
        <v>5.2740000000000002E-2</v>
      </c>
      <c r="AC10" s="98">
        <f t="shared" ca="1" si="3"/>
        <v>5.289E-2</v>
      </c>
      <c r="AD10" s="77">
        <f t="shared" ca="1" si="4"/>
        <v>107.833</v>
      </c>
      <c r="AE10" s="77">
        <f t="shared" ca="1" si="5"/>
        <v>108.133</v>
      </c>
      <c r="AF10" s="77">
        <f t="shared" ca="1" si="6"/>
        <v>107.983</v>
      </c>
      <c r="AG10" s="73">
        <f ca="1">+(X10-intercambio!$B$6)/365</f>
        <v>12.712328767123287</v>
      </c>
      <c r="AH10" s="73"/>
      <c r="AJ10" s="76" t="s">
        <v>122</v>
      </c>
      <c r="AK10" s="76" t="str">
        <f ca="1">+OFFSET(bd_bonos!$A$1,MATCH(bond_calc!$AJ10,bd_bonos!$A$1:$A$28,0)-1,11)</f>
        <v>12/08/2031</v>
      </c>
      <c r="AL10" s="77">
        <f ca="1">+OFFSET(bd_bonos!$A$1,MATCH(bond_calc!$AJ10,bd_bonos!$A$1:$A$28,0)-1,4)</f>
        <v>6.95</v>
      </c>
      <c r="AM10" s="76" t="str">
        <f ca="1">+OFFSET(bd_bonos!$A$1,MATCH(bond_calc!$AJ10,bd_bonos!$A$1:$A$28,0)-1,12)</f>
        <v>PEN</v>
      </c>
      <c r="AN10" s="98">
        <f t="shared" ca="1" si="7"/>
        <v>5.2049999999999999E-2</v>
      </c>
      <c r="AO10" s="98">
        <f t="shared" ca="1" si="8"/>
        <v>5.1830000000000001E-2</v>
      </c>
      <c r="AP10" s="98">
        <f t="shared" ca="1" si="9"/>
        <v>5.194E-2</v>
      </c>
      <c r="AQ10" s="77">
        <f t="shared" ca="1" si="10"/>
        <v>115.461</v>
      </c>
      <c r="AR10" s="77">
        <f t="shared" ca="1" si="11"/>
        <v>115.672</v>
      </c>
      <c r="AS10" s="77">
        <f t="shared" ca="1" si="12"/>
        <v>115.566</v>
      </c>
      <c r="AT10" s="73">
        <f ca="1">+(AK10-intercambio!$B$6)/365</f>
        <v>11.70958904109589</v>
      </c>
      <c r="AU10" s="78">
        <v>14123244000</v>
      </c>
    </row>
    <row r="11" spans="1:47">
      <c r="A11" s="89" t="s">
        <v>117</v>
      </c>
      <c r="B11" s="158" t="str">
        <f ca="1">+OFFSET(bd_bonos!$A$1,MATCH(bond_calc!$A11,bd_bonos!$A:$A,0)-1,11)</f>
        <v>12/09/2023</v>
      </c>
      <c r="C11" s="98">
        <f ca="1">+OFFSET(bd_bonos!$A$1,MATCH(bond_calc!$A11,bd_bonos!$A:$A,0)-1,4)/100</f>
        <v>5.2000000000000005E-2</v>
      </c>
      <c r="D11" s="158" t="str">
        <f ca="1">+OFFSET(bd_bonos!$A$1,MATCH(bond_calc!$A11,bd_bonos!$A:$A,0)-1,12)</f>
        <v>PEN</v>
      </c>
      <c r="E11" s="98">
        <f ca="1">+OFFSET(bd_historicas!$A$1,MATCH($A11,bd_historicas!$D:$D,0)+3,MATCH(E$1,bd_historicas!$D$4:$J$4,0)+2)/100</f>
        <v>3.3520000000000001E-2</v>
      </c>
      <c r="F11" s="98">
        <f ca="1">+OFFSET(bd_historicas!$A$1,MATCH($A11,bd_historicas!$D:$D,0)+3,MATCH(F$1,bd_historicas!$D$4:$J$4,0)+2)/100</f>
        <v>3.3309999999999999E-2</v>
      </c>
      <c r="G11" s="98">
        <f ca="1">+OFFSET(bd_historicas!$A$1,MATCH($A11,bd_historicas!$D:$D,0)+3,MATCH(G$1,bd_historicas!$D$4:$J$4,0)+2)/100</f>
        <v>3.3419999999999998E-2</v>
      </c>
      <c r="H11" s="77">
        <f ca="1">+OFFSET(bd_historicas!$A$1,MATCH($A11,bd_historicas!$D:$D,0)+3,MATCH(H$1,bd_historicas!$D$4:$J$4,0)+2)</f>
        <v>107.14</v>
      </c>
      <c r="I11" s="77">
        <f ca="1">+OFFSET(bd_historicas!$A$1,MATCH($A11,bd_historicas!$D:$D,0)+3,MATCH(I$1,bd_historicas!$D$4:$J$4,0)+2)</f>
        <v>107.224</v>
      </c>
      <c r="J11" s="77">
        <f ca="1">+OFFSET(bd_historicas!$A$1,MATCH($A11,bd_historicas!$D:$D,0)+3,MATCH(J$1,bd_historicas!$D$4:$J$4,0)+2)</f>
        <v>107.182</v>
      </c>
      <c r="K11" s="73">
        <f ca="1">+(B11-intercambio!$B$6)/365</f>
        <v>3.7890410958904108</v>
      </c>
      <c r="L11" s="99">
        <f ca="1">+IF($D11&lt;&gt;"PEN",((((1+_xll.Interp($K11,$AG$3:$AG$13,$AC$3:$AC$13))^(0.5)-1)*2)*365/360),$G11)</f>
        <v>3.3419999999999998E-2</v>
      </c>
      <c r="M11" s="99">
        <f ca="1">+IF($D11&lt;&gt;"PEN",_xll.Interp($K11,icap!$C$2:$C$11,icap!$F$2:$F$11),0)</f>
        <v>0</v>
      </c>
      <c r="N11" s="99">
        <f t="shared" ca="1" si="13"/>
        <v>3.3419999999999998E-2</v>
      </c>
      <c r="O11" s="77"/>
      <c r="P11" s="99">
        <f t="shared" ca="1" si="0"/>
        <v>3.3419999999999998E-2</v>
      </c>
      <c r="Q11" s="77"/>
      <c r="R11" s="77"/>
      <c r="S11" s="77">
        <f ca="1">+IF($D11="PEN",J11,IF(OR($D11="USD",$D11="EUR"),PRICE(intercambio!$B$6,bond_calc!$B11,bond_calc!$C11,bond_calc!$N11,100,2,0)))</f>
        <v>107.182</v>
      </c>
      <c r="T11" s="78">
        <f ca="1">+OFFSET(bd_bonos!$A$1,MATCH(bond_calc!$A11,bd_bonos!$A$1:$A$28,0)-1,33)</f>
        <v>5886504000</v>
      </c>
      <c r="U11" s="134">
        <f ca="1">+IF(OFFSET(bd_schd!$C$1,MATCH(bond_calc!A11,bd_schd!$C:$C,0)-1,2)=0,"",OFFSET(bd_schd!$C$1,MATCH(bond_calc!A11,bd_schd!$C:$C,0)-1,2))</f>
        <v>43720</v>
      </c>
      <c r="V11" s="133">
        <f ca="1">+IF(OFFSET(bd_schd!$C$1,MATCH(bond_calc!A11,bd_schd!$C:$C,0)-1,3)=0,"",OFFSET(bd_schd!$C$1,MATCH(bond_calc!A11,bd_schd!$C:$C,0)-1,3))</f>
        <v>43902</v>
      </c>
      <c r="W11" s="76" t="s">
        <v>124</v>
      </c>
      <c r="X11" s="158" t="str">
        <f ca="1">+OFFSET(bd_bonos!$A$1,MATCH(bond_calc!$W11,bd_bonos!$A:$A,0)-1,11)</f>
        <v>12/08/2037</v>
      </c>
      <c r="Y11" s="77">
        <f ca="1">+OFFSET(bd_bonos!$A$1,MATCH(bond_calc!$W11,bd_bonos!$A:$A,0)-1,4)</f>
        <v>6.9</v>
      </c>
      <c r="Z11" s="158" t="str">
        <f ca="1">+OFFSET(bd_bonos!$A$1,MATCH(bond_calc!$W11,bd_bonos!$A:$A,0)-1,12)</f>
        <v>PEN</v>
      </c>
      <c r="AA11" s="98">
        <f t="shared" ca="1" si="1"/>
        <v>5.57E-2</v>
      </c>
      <c r="AB11" s="98">
        <f t="shared" ca="1" si="2"/>
        <v>5.5410000000000001E-2</v>
      </c>
      <c r="AC11" s="98">
        <f t="shared" ca="1" si="3"/>
        <v>5.5559999999999998E-2</v>
      </c>
      <c r="AD11" s="77">
        <f t="shared" ca="1" si="4"/>
        <v>114.976</v>
      </c>
      <c r="AE11" s="77">
        <f t="shared" ca="1" si="5"/>
        <v>115.34</v>
      </c>
      <c r="AF11" s="77">
        <f t="shared" ca="1" si="6"/>
        <v>115.158</v>
      </c>
      <c r="AG11" s="73">
        <f ca="1">+(X11-intercambio!$B$6)/365</f>
        <v>17.715068493150685</v>
      </c>
      <c r="AH11" s="73"/>
      <c r="AJ11" s="76" t="s">
        <v>123</v>
      </c>
      <c r="AK11" s="76" t="str">
        <f ca="1">+OFFSET(bd_bonos!$A$1,MATCH(bond_calc!$AJ11,bd_bonos!$A$1:$A$28,0)-1,11)</f>
        <v>12/08/2032</v>
      </c>
      <c r="AL11" s="77">
        <f ca="1">+OFFSET(bd_bonos!$A$1,MATCH(bond_calc!$AJ11,bd_bonos!$A$1:$A$28,0)-1,4)</f>
        <v>6.15</v>
      </c>
      <c r="AM11" s="76" t="str">
        <f ca="1">+OFFSET(bd_bonos!$A$1,MATCH(bond_calc!$AJ11,bd_bonos!$A$1:$A$28,0)-1,12)</f>
        <v>PEN</v>
      </c>
      <c r="AN11" s="98">
        <f t="shared" ca="1" si="7"/>
        <v>5.3040000000000004E-2</v>
      </c>
      <c r="AO11" s="98">
        <f t="shared" ca="1" si="8"/>
        <v>5.2740000000000002E-2</v>
      </c>
      <c r="AP11" s="98">
        <f t="shared" ca="1" si="9"/>
        <v>5.289E-2</v>
      </c>
      <c r="AQ11" s="77">
        <f t="shared" ca="1" si="10"/>
        <v>107.833</v>
      </c>
      <c r="AR11" s="77">
        <f t="shared" ca="1" si="11"/>
        <v>108.133</v>
      </c>
      <c r="AS11" s="77">
        <f t="shared" ca="1" si="12"/>
        <v>107.983</v>
      </c>
      <c r="AT11" s="73">
        <f ca="1">+(AK11-intercambio!$B$6)/365</f>
        <v>12.712328767123287</v>
      </c>
      <c r="AU11" s="78">
        <v>11361500000</v>
      </c>
    </row>
    <row r="12" spans="1:47">
      <c r="A12" s="89" t="s">
        <v>118</v>
      </c>
      <c r="B12" s="158" t="str">
        <f ca="1">+OFFSET(bd_bonos!$A$1,MATCH(bond_calc!$A12,bd_bonos!$A:$A,0)-1,11)</f>
        <v>12/08/2024</v>
      </c>
      <c r="C12" s="98">
        <f ca="1">+OFFSET(bd_bonos!$A$1,MATCH(bond_calc!$A12,bd_bonos!$A:$A,0)-1,4)/100</f>
        <v>5.7000000000000002E-2</v>
      </c>
      <c r="D12" s="158" t="str">
        <f ca="1">+OFFSET(bd_bonos!$A$1,MATCH(bond_calc!$A12,bd_bonos!$A:$A,0)-1,12)</f>
        <v>PEN</v>
      </c>
      <c r="E12" s="98">
        <f ca="1">+OFFSET(bd_historicas!$A$1,MATCH($A12,bd_historicas!$D:$D,0)+3,MATCH(E$1,bd_historicas!$D$4:$J$4,0)+2)/100</f>
        <v>3.6659999999999998E-2</v>
      </c>
      <c r="F12" s="98">
        <f ca="1">+OFFSET(bd_historicas!$A$1,MATCH($A12,bd_historicas!$D:$D,0)+3,MATCH(F$1,bd_historicas!$D$4:$J$4,0)+2)/100</f>
        <v>3.6490000000000002E-2</v>
      </c>
      <c r="G12" s="98">
        <f ca="1">+OFFSET(bd_historicas!$A$1,MATCH($A12,bd_historicas!$D:$D,0)+3,MATCH(G$1,bd_historicas!$D$4:$J$4,0)+2)/100</f>
        <v>3.6569999999999998E-2</v>
      </c>
      <c r="H12" s="77">
        <f ca="1">+OFFSET(bd_historicas!$A$1,MATCH($A12,bd_historicas!$D:$D,0)+3,MATCH(H$1,bd_historicas!$D$4:$J$4,0)+2)</f>
        <v>109.363</v>
      </c>
      <c r="I12" s="77">
        <f ca="1">+OFFSET(bd_historicas!$A$1,MATCH($A12,bd_historicas!$D:$D,0)+3,MATCH(I$1,bd_historicas!$D$4:$J$4,0)+2)</f>
        <v>109.446</v>
      </c>
      <c r="J12" s="77">
        <f ca="1">+OFFSET(bd_historicas!$A$1,MATCH($A12,bd_historicas!$D:$D,0)+3,MATCH(J$1,bd_historicas!$D$4:$J$4,0)+2)</f>
        <v>109.405</v>
      </c>
      <c r="K12" s="73">
        <f ca="1">+(B12-intercambio!$B$6)/365</f>
        <v>4.7068493150684931</v>
      </c>
      <c r="L12" s="99">
        <f ca="1">+IF($D12&lt;&gt;"PEN",((((1+_xll.Interp($K12,$AG$3:$AG$13,$AC$3:$AC$13))^(0.5)-1)*2)*365/360),$G12)</f>
        <v>3.6569999999999998E-2</v>
      </c>
      <c r="M12" s="99">
        <f ca="1">+IF($D12&lt;&gt;"PEN",_xll.Interp($K12,icap!$C$2:$C$11,icap!$F$2:$F$11),0)</f>
        <v>0</v>
      </c>
      <c r="N12" s="99">
        <f t="shared" ca="1" si="13"/>
        <v>3.6569999999999998E-2</v>
      </c>
      <c r="O12" s="77"/>
      <c r="P12" s="99">
        <f t="shared" ca="1" si="0"/>
        <v>3.6569999999999998E-2</v>
      </c>
      <c r="Q12" s="77"/>
      <c r="R12" s="77"/>
      <c r="S12" s="77">
        <f ca="1">+IF($D12="PEN",J12,IF(OR($D12="USD",$D12="EUR"),PRICE(intercambio!$B$6,bond_calc!$B12,bond_calc!$C12,bond_calc!$N12,100,2,0)))</f>
        <v>109.405</v>
      </c>
      <c r="T12" s="78">
        <f ca="1">+OFFSET(bd_bonos!$A$1,MATCH(bond_calc!$A12,bd_bonos!$A$1:$A$28,0)-1,33)</f>
        <v>11278348000</v>
      </c>
      <c r="U12" s="134">
        <f ca="1">+IF(OFFSET(bd_schd!$C$1,MATCH(bond_calc!A12,bd_schd!$C:$C,0)-1,2)=0,"",OFFSET(bd_schd!$C$1,MATCH(bond_calc!A12,bd_schd!$C:$C,0)-1,2))</f>
        <v>43689</v>
      </c>
      <c r="V12" s="133">
        <f ca="1">+IF(OFFSET(bd_schd!$C$1,MATCH(bond_calc!A12,bd_schd!$C:$C,0)-1,3)=0,"",OFFSET(bd_schd!$C$1,MATCH(bond_calc!A12,bd_schd!$C:$C,0)-1,3))</f>
        <v>43873</v>
      </c>
      <c r="W12" s="76" t="s">
        <v>125</v>
      </c>
      <c r="X12" s="158" t="str">
        <f ca="1">+OFFSET(bd_bonos!$A$1,MATCH(bond_calc!$W12,bd_bonos!$A:$A,0)-1,11)</f>
        <v>12/02/2042</v>
      </c>
      <c r="Y12" s="77">
        <f ca="1">+OFFSET(bd_bonos!$A$1,MATCH(bond_calc!$W12,bd_bonos!$A:$A,0)-1,4)</f>
        <v>6.85</v>
      </c>
      <c r="Z12" s="158" t="str">
        <f ca="1">+OFFSET(bd_bonos!$A$1,MATCH(bond_calc!$W12,bd_bonos!$A:$A,0)-1,12)</f>
        <v>PEN</v>
      </c>
      <c r="AA12" s="98">
        <f t="shared" ca="1" si="1"/>
        <v>5.7670000000000006E-2</v>
      </c>
      <c r="AB12" s="98">
        <f t="shared" ca="1" si="2"/>
        <v>5.7050000000000003E-2</v>
      </c>
      <c r="AC12" s="98">
        <f t="shared" ca="1" si="3"/>
        <v>5.7359999999999994E-2</v>
      </c>
      <c r="AD12" s="77">
        <f t="shared" ca="1" si="4"/>
        <v>113.536</v>
      </c>
      <c r="AE12" s="77">
        <f t="shared" ca="1" si="5"/>
        <v>114.378</v>
      </c>
      <c r="AF12" s="77">
        <f t="shared" ca="1" si="6"/>
        <v>113.95699999999999</v>
      </c>
      <c r="AG12" s="73">
        <f ca="1">+(X12-intercambio!$B$6)/365</f>
        <v>22.221917808219178</v>
      </c>
      <c r="AH12" s="73"/>
      <c r="AJ12" s="76" t="s">
        <v>124</v>
      </c>
      <c r="AK12" s="76" t="str">
        <f ca="1">+OFFSET(bd_bonos!$A$1,MATCH(bond_calc!$AJ12,bd_bonos!$A$1:$A$28,0)-1,11)</f>
        <v>12/08/2037</v>
      </c>
      <c r="AL12" s="77">
        <f ca="1">+OFFSET(bd_bonos!$A$1,MATCH(bond_calc!$AJ12,bd_bonos!$A$1:$A$28,0)-1,4)</f>
        <v>6.9</v>
      </c>
      <c r="AM12" s="76" t="str">
        <f ca="1">+OFFSET(bd_bonos!$A$1,MATCH(bond_calc!$AJ12,bd_bonos!$A$1:$A$28,0)-1,12)</f>
        <v>PEN</v>
      </c>
      <c r="AN12" s="98">
        <f t="shared" ca="1" si="7"/>
        <v>5.57E-2</v>
      </c>
      <c r="AO12" s="98">
        <f t="shared" ca="1" si="8"/>
        <v>5.5410000000000001E-2</v>
      </c>
      <c r="AP12" s="98">
        <f t="shared" ca="1" si="9"/>
        <v>5.5559999999999998E-2</v>
      </c>
      <c r="AQ12" s="77">
        <f t="shared" ca="1" si="10"/>
        <v>114.976</v>
      </c>
      <c r="AR12" s="77">
        <f t="shared" ca="1" si="11"/>
        <v>115.34</v>
      </c>
      <c r="AS12" s="77">
        <f t="shared" ca="1" si="12"/>
        <v>115.158</v>
      </c>
      <c r="AT12" s="73">
        <f ca="1">+(AK12-intercambio!$B$6)/365</f>
        <v>17.715068493150685</v>
      </c>
      <c r="AU12" s="78">
        <v>10125223000</v>
      </c>
    </row>
    <row r="13" spans="1:47">
      <c r="A13" s="89" t="s">
        <v>119</v>
      </c>
      <c r="B13" s="158" t="str">
        <f ca="1">+OFFSET(bd_bonos!$A$1,MATCH(bond_calc!$A13,bd_bonos!$A:$A,0)-1,11)</f>
        <v>12/08/2026</v>
      </c>
      <c r="C13" s="98">
        <f ca="1">+OFFSET(bd_bonos!$A$1,MATCH(bond_calc!$A13,bd_bonos!$A:$A,0)-1,4)/100</f>
        <v>8.199999999999999E-2</v>
      </c>
      <c r="D13" s="158" t="str">
        <f ca="1">+OFFSET(bd_bonos!$A$1,MATCH(bond_calc!$A13,bd_bonos!$A:$A,0)-1,12)</f>
        <v>PEN</v>
      </c>
      <c r="E13" s="98">
        <f ca="1">+OFFSET(bd_historicas!$A$1,MATCH($A13,bd_historicas!$D:$D,0)+3,MATCH(E$1,bd_historicas!$D$4:$J$4,0)+2)/100</f>
        <v>4.2750000000000003E-2</v>
      </c>
      <c r="F13" s="98">
        <f ca="1">+OFFSET(bd_historicas!$A$1,MATCH($A13,bd_historicas!$D:$D,0)+3,MATCH(F$1,bd_historicas!$D$4:$J$4,0)+2)/100</f>
        <v>4.2599999999999999E-2</v>
      </c>
      <c r="G13" s="98">
        <f ca="1">+OFFSET(bd_historicas!$A$1,MATCH($A13,bd_historicas!$D:$D,0)+3,MATCH(G$1,bd_historicas!$D$4:$J$4,0)+2)/100</f>
        <v>4.2670000000000007E-2</v>
      </c>
      <c r="H13" s="77">
        <f ca="1">+OFFSET(bd_historicas!$A$1,MATCH($A13,bd_historicas!$D:$D,0)+3,MATCH(H$1,bd_historicas!$D$4:$J$4,0)+2)</f>
        <v>123.834</v>
      </c>
      <c r="I13" s="77">
        <f ca="1">+OFFSET(bd_historicas!$A$1,MATCH($A13,bd_historicas!$D:$D,0)+3,MATCH(I$1,bd_historicas!$D$4:$J$4,0)+2)</f>
        <v>123.93899999999999</v>
      </c>
      <c r="J13" s="77">
        <f ca="1">+OFFSET(bd_historicas!$A$1,MATCH($A13,bd_historicas!$D:$D,0)+3,MATCH(J$1,bd_historicas!$D$4:$J$4,0)+2)</f>
        <v>123.887</v>
      </c>
      <c r="K13" s="73">
        <f ca="1">+(B13-intercambio!$B$6)/365</f>
        <v>6.7068493150684931</v>
      </c>
      <c r="L13" s="99">
        <f ca="1">+IF($D13&lt;&gt;"PEN",((((1+_xll.Interp($K13,$AG$3:$AG$13,$AC$3:$AC$13))^(0.5)-1)*2)*365/360),$G13)</f>
        <v>4.2670000000000007E-2</v>
      </c>
      <c r="M13" s="99">
        <f ca="1">+IF($D13&lt;&gt;"PEN",_xll.Interp($K13,icap!$C$2:$C$11,icap!$F$2:$F$11),0)</f>
        <v>0</v>
      </c>
      <c r="N13" s="99">
        <f t="shared" ca="1" si="13"/>
        <v>4.2670000000000007E-2</v>
      </c>
      <c r="O13" s="77"/>
      <c r="P13" s="99">
        <f t="shared" ca="1" si="0"/>
        <v>4.2670000000000007E-2</v>
      </c>
      <c r="Q13" s="77"/>
      <c r="R13" s="77"/>
      <c r="S13" s="77">
        <f ca="1">+IF($D13="PEN",J13,IF(OR($D13="USD",$D13="EUR"),PRICE(intercambio!$B$6,bond_calc!$B13,bond_calc!$C13,bond_calc!$N13,100,2,0)))</f>
        <v>123.887</v>
      </c>
      <c r="T13" s="78">
        <f ca="1">+OFFSET(bd_bonos!$A$1,MATCH(bond_calc!$A13,bd_bonos!$A$1:$A$28,0)-1,33)</f>
        <v>12515340000</v>
      </c>
      <c r="U13" s="134">
        <f ca="1">+IF(OFFSET(bd_schd!$C$1,MATCH(bond_calc!A13,bd_schd!$C:$C,0)-1,2)=0,"",OFFSET(bd_schd!$C$1,MATCH(bond_calc!A13,bd_schd!$C:$C,0)-1,2))</f>
        <v>43689</v>
      </c>
      <c r="V13" s="133">
        <f ca="1">+IF(OFFSET(bd_schd!$C$1,MATCH(bond_calc!A13,bd_schd!$C:$C,0)-1,3)=0,"",OFFSET(bd_schd!$C$1,MATCH(bond_calc!A13,bd_schd!$C:$C,0)-1,3))</f>
        <v>43873</v>
      </c>
      <c r="W13" s="76" t="s">
        <v>126</v>
      </c>
      <c r="X13" s="158" t="str">
        <f ca="1">+OFFSET(bd_bonos!$A$1,MATCH(bond_calc!$W13,bd_bonos!$A:$A,0)-1,11)</f>
        <v>12/02/2055</v>
      </c>
      <c r="Y13" s="77">
        <f ca="1">+OFFSET(bd_bonos!$A$1,MATCH(bond_calc!$W13,bd_bonos!$A:$A,0)-1,4)</f>
        <v>6.7141999999999999</v>
      </c>
      <c r="Z13" s="158" t="str">
        <f ca="1">+OFFSET(bd_bonos!$A$1,MATCH(bond_calc!$W13,bd_bonos!$A:$A,0)-1,12)</f>
        <v>PEN</v>
      </c>
      <c r="AA13" s="98">
        <f t="shared" ca="1" si="1"/>
        <v>5.849E-2</v>
      </c>
      <c r="AB13" s="98">
        <f t="shared" ca="1" si="2"/>
        <v>5.7980000000000004E-2</v>
      </c>
      <c r="AC13" s="98">
        <f t="shared" ca="1" si="3"/>
        <v>5.824E-2</v>
      </c>
      <c r="AD13" s="77">
        <f t="shared" ca="1" si="4"/>
        <v>112.834</v>
      </c>
      <c r="AE13" s="77">
        <f t="shared" ca="1" si="5"/>
        <v>113.67700000000001</v>
      </c>
      <c r="AF13" s="77">
        <f t="shared" ca="1" si="6"/>
        <v>113.256</v>
      </c>
      <c r="AG13" s="73">
        <f ca="1">+(X13-intercambio!$B$6)/365</f>
        <v>35.230136986301368</v>
      </c>
      <c r="AH13" s="73"/>
      <c r="AJ13" s="76" t="s">
        <v>125</v>
      </c>
      <c r="AK13" s="76" t="str">
        <f ca="1">+OFFSET(bd_bonos!$A$1,MATCH(bond_calc!$AJ13,bd_bonos!$A$1:$A$28,0)-1,11)</f>
        <v>12/02/2042</v>
      </c>
      <c r="AL13" s="77">
        <f ca="1">+OFFSET(bd_bonos!$A$1,MATCH(bond_calc!$AJ13,bd_bonos!$A$1:$A$28,0)-1,4)</f>
        <v>6.85</v>
      </c>
      <c r="AM13" s="76" t="str">
        <f ca="1">+OFFSET(bd_bonos!$A$1,MATCH(bond_calc!$AJ13,bd_bonos!$A$1:$A$28,0)-1,12)</f>
        <v>PEN</v>
      </c>
      <c r="AN13" s="98">
        <f t="shared" ca="1" si="7"/>
        <v>5.7670000000000006E-2</v>
      </c>
      <c r="AO13" s="98">
        <f t="shared" ca="1" si="8"/>
        <v>5.7050000000000003E-2</v>
      </c>
      <c r="AP13" s="98">
        <f t="shared" ca="1" si="9"/>
        <v>5.7359999999999994E-2</v>
      </c>
      <c r="AQ13" s="77">
        <f t="shared" ca="1" si="10"/>
        <v>113.536</v>
      </c>
      <c r="AR13" s="77">
        <f t="shared" ca="1" si="11"/>
        <v>114.378</v>
      </c>
      <c r="AS13" s="77">
        <f t="shared" ca="1" si="12"/>
        <v>113.95699999999999</v>
      </c>
      <c r="AT13" s="73">
        <f ca="1">+(AK13-intercambio!$B$6)/365</f>
        <v>22.221917808219178</v>
      </c>
      <c r="AU13" s="78">
        <v>4443473000</v>
      </c>
    </row>
    <row r="14" spans="1:47">
      <c r="A14" s="89" t="s">
        <v>120</v>
      </c>
      <c r="B14" s="158" t="str">
        <f ca="1">+OFFSET(bd_bonos!$A$1,MATCH(bond_calc!$A14,bd_bonos!$A:$A,0)-1,11)</f>
        <v>12/08/2028</v>
      </c>
      <c r="C14" s="98">
        <f ca="1">+OFFSET(bd_bonos!$A$1,MATCH(bond_calc!$A14,bd_bonos!$A:$A,0)-1,4)/100</f>
        <v>6.3500000000000001E-2</v>
      </c>
      <c r="D14" s="158" t="str">
        <f ca="1">+OFFSET(bd_bonos!$A$1,MATCH(bond_calc!$A14,bd_bonos!$A:$A,0)-1,12)</f>
        <v>PEN</v>
      </c>
      <c r="E14" s="98">
        <f ca="1">+OFFSET(bd_historicas!$A$1,MATCH($A14,bd_historicas!$D:$D,0)+3,MATCH(E$1,bd_historicas!$D$4:$J$4,0)+2)/100</f>
        <v>4.7500000000000001E-2</v>
      </c>
      <c r="F14" s="98">
        <f ca="1">+OFFSET(bd_historicas!$A$1,MATCH($A14,bd_historicas!$D:$D,0)+3,MATCH(F$1,bd_historicas!$D$4:$J$4,0)+2)/100</f>
        <v>4.7289999999999999E-2</v>
      </c>
      <c r="G14" s="98">
        <f ca="1">+OFFSET(bd_historicas!$A$1,MATCH($A14,bd_historicas!$D:$D,0)+3,MATCH(G$1,bd_historicas!$D$4:$J$4,0)+2)/100</f>
        <v>4.7400000000000005E-2</v>
      </c>
      <c r="H14" s="77">
        <f ca="1">+OFFSET(bd_historicas!$A$1,MATCH($A14,bd_historicas!$D:$D,0)+3,MATCH(H$1,bd_historicas!$D$4:$J$4,0)+2)</f>
        <v>111.642</v>
      </c>
      <c r="I14" s="77">
        <f ca="1">+OFFSET(bd_historicas!$A$1,MATCH($A14,bd_historicas!$D:$D,0)+3,MATCH(I$1,bd_historicas!$D$4:$J$4,0)+2)</f>
        <v>111.8</v>
      </c>
      <c r="J14" s="77">
        <f ca="1">+OFFSET(bd_historicas!$A$1,MATCH($A14,bd_historicas!$D:$D,0)+3,MATCH(J$1,bd_historicas!$D$4:$J$4,0)+2)</f>
        <v>111.721</v>
      </c>
      <c r="K14" s="73">
        <f ca="1">+(B14-intercambio!$B$6)/365</f>
        <v>8.7095890410958905</v>
      </c>
      <c r="L14" s="99">
        <f ca="1">+IF($D14&lt;&gt;"PEN",((((1+_xll.Interp($K14,$AG$3:$AG$13,$AC$3:$AC$13))^(0.5)-1)*2)*365/360),$G14)</f>
        <v>4.7400000000000005E-2</v>
      </c>
      <c r="M14" s="99">
        <f ca="1">+IF($D14&lt;&gt;"PEN",_xll.Interp($K14,icap!$C$2:$C$11,icap!$F$2:$F$11),0)</f>
        <v>0</v>
      </c>
      <c r="N14" s="99">
        <f t="shared" ca="1" si="13"/>
        <v>4.7400000000000005E-2</v>
      </c>
      <c r="O14" s="77"/>
      <c r="P14" s="99">
        <f t="shared" ca="1" si="0"/>
        <v>4.7400000000000005E-2</v>
      </c>
      <c r="Q14" s="77"/>
      <c r="R14" s="77"/>
      <c r="S14" s="77">
        <f ca="1">+IF($D14="PEN",J14,IF(OR($D14="USD",$D14="EUR"),PRICE(intercambio!$B$6,bond_calc!$B14,bond_calc!$C14,bond_calc!$N14,100,2,0)))</f>
        <v>111.721</v>
      </c>
      <c r="T14" s="78">
        <f ca="1">+OFFSET(bd_bonos!$A$1,MATCH(bond_calc!$A14,bd_bonos!$A$1:$A$28,0)-1,33)</f>
        <v>14471160000</v>
      </c>
      <c r="U14" s="134">
        <f ca="1">+IF(OFFSET(bd_schd!$C$1,MATCH(bond_calc!A14,bd_schd!$C:$C,0)-1,2)=0,"",OFFSET(bd_schd!$C$1,MATCH(bond_calc!A14,bd_schd!$C:$C,0)-1,2))</f>
        <v>43689</v>
      </c>
      <c r="V14" s="133">
        <f ca="1">+IF(OFFSET(bd_schd!$C$1,MATCH(bond_calc!A14,bd_schd!$C:$C,0)-1,3)=0,"",OFFSET(bd_schd!$C$1,MATCH(bond_calc!A14,bd_schd!$C:$C,0)-1,3))</f>
        <v>43873</v>
      </c>
      <c r="W14" s="76"/>
      <c r="X14" s="76"/>
      <c r="AJ14" s="76" t="s">
        <v>126</v>
      </c>
      <c r="AK14" s="76" t="str">
        <f ca="1">+OFFSET(bd_bonos!$A$1,MATCH(bond_calc!$AJ14,bd_bonos!$A$1:$A$28,0)-1,11)</f>
        <v>12/02/2055</v>
      </c>
      <c r="AL14" s="77">
        <f ca="1">+OFFSET(bd_bonos!$A$1,MATCH(bond_calc!$AJ14,bd_bonos!$A$1:$A$28,0)-1,4)</f>
        <v>6.7141999999999999</v>
      </c>
      <c r="AM14" s="76" t="str">
        <f ca="1">+OFFSET(bd_bonos!$A$1,MATCH(bond_calc!$AJ14,bd_bonos!$A$1:$A$28,0)-1,12)</f>
        <v>PEN</v>
      </c>
      <c r="AN14" s="98">
        <f t="shared" ca="1" si="7"/>
        <v>5.849E-2</v>
      </c>
      <c r="AO14" s="98">
        <f t="shared" ca="1" si="8"/>
        <v>5.7980000000000004E-2</v>
      </c>
      <c r="AP14" s="98">
        <f t="shared" ca="1" si="9"/>
        <v>5.824E-2</v>
      </c>
      <c r="AQ14" s="77">
        <f t="shared" ca="1" si="10"/>
        <v>112.834</v>
      </c>
      <c r="AR14" s="77">
        <f t="shared" ca="1" si="11"/>
        <v>113.67700000000001</v>
      </c>
      <c r="AS14" s="77">
        <f t="shared" ca="1" si="12"/>
        <v>113.256</v>
      </c>
      <c r="AT14" s="73">
        <f ca="1">+(AK14-intercambio!$B$6)/365</f>
        <v>35.230136986301368</v>
      </c>
      <c r="AU14" s="78">
        <v>2271843000</v>
      </c>
    </row>
    <row r="15" spans="1:47">
      <c r="A15" s="89" t="s">
        <v>121</v>
      </c>
      <c r="B15" s="158" t="str">
        <f ca="1">+OFFSET(bd_bonos!$A$1,MATCH(bond_calc!$A15,bd_bonos!$A:$A,0)-1,11)</f>
        <v>12/02/2029</v>
      </c>
      <c r="C15" s="98">
        <f ca="1">+OFFSET(bd_bonos!$A$1,MATCH(bond_calc!$A15,bd_bonos!$A:$A,0)-1,4)/100</f>
        <v>0.06</v>
      </c>
      <c r="D15" s="158" t="str">
        <f ca="1">+OFFSET(bd_bonos!$A$1,MATCH(bond_calc!$A15,bd_bonos!$A:$A,0)-1,12)</f>
        <v>PEN</v>
      </c>
      <c r="E15" s="98">
        <f ca="1">+OFFSET(bd_historicas!$A$1,MATCH($A15,bd_historicas!$D:$D,0)+3,MATCH(E$1,bd_historicas!$D$4:$J$4,0)+2)/100</f>
        <v>0</v>
      </c>
      <c r="F15" s="98">
        <f ca="1">+OFFSET(bd_historicas!$A$1,MATCH($A15,bd_historicas!$D:$D,0)+3,MATCH(F$1,bd_historicas!$D$4:$J$4,0)+2)/100</f>
        <v>0</v>
      </c>
      <c r="G15" s="98">
        <f ca="1">+OFFSET(bd_historicas!$A$1,MATCH($A15,bd_historicas!$D:$D,0)+3,MATCH(G$1,bd_historicas!$D$4:$J$4,0)+2)/100</f>
        <v>0</v>
      </c>
      <c r="H15" s="77">
        <f ca="1">+OFFSET(bd_historicas!$A$1,MATCH($A15,bd_historicas!$D:$D,0)+3,MATCH(H$1,bd_historicas!$D$4:$J$4,0)+2)</f>
        <v>0</v>
      </c>
      <c r="I15" s="77">
        <f ca="1">+OFFSET(bd_historicas!$A$1,MATCH($A15,bd_historicas!$D:$D,0)+3,MATCH(I$1,bd_historicas!$D$4:$J$4,0)+2)</f>
        <v>0</v>
      </c>
      <c r="J15" s="77">
        <f ca="1">+OFFSET(bd_historicas!$A$1,MATCH($A15,bd_historicas!$D:$D,0)+3,MATCH(J$1,bd_historicas!$D$4:$J$4,0)+2)</f>
        <v>0</v>
      </c>
      <c r="K15" s="73">
        <f ca="1">+(B15-intercambio!$B$6)/365</f>
        <v>9.213698630136987</v>
      </c>
      <c r="L15" s="99">
        <f ca="1">+IF($D15&lt;&gt;"PEN",((((1+_xll.Interp($K15,$AG$3:$AG$13,$AC$3:$AC$13))^(0.5)-1)*2)*365/360),$G15)</f>
        <v>0</v>
      </c>
      <c r="M15" s="99">
        <f ca="1">+IF($D15&lt;&gt;"PEN",_xll.Interp($K15,icap!$C$2:$C$11,icap!$F$2:$F$11),0)</f>
        <v>0</v>
      </c>
      <c r="N15" s="99">
        <f t="shared" ca="1" si="13"/>
        <v>0</v>
      </c>
      <c r="O15" s="77"/>
      <c r="P15" s="99">
        <f t="shared" ca="1" si="0"/>
        <v>0</v>
      </c>
      <c r="Q15" s="77"/>
      <c r="R15" s="77"/>
      <c r="S15" s="77">
        <f ca="1">+IF($D15="PEN",J15,IF(OR($D15="USD",$D15="EUR"),PRICE(intercambio!$B$6,bond_calc!$B15,bond_calc!$C15,bond_calc!$N15,100,2,0)))</f>
        <v>0</v>
      </c>
      <c r="T15" s="78">
        <f ca="1">+OFFSET(bd_bonos!$A$1,MATCH(bond_calc!$A15,bd_bonos!$A$1:$A$28,0)-1,33)</f>
        <v>165264000</v>
      </c>
      <c r="U15" s="134">
        <f ca="1">+IF(OFFSET(bd_schd!$C$1,MATCH(bond_calc!A15,bd_schd!$C:$C,0)-1,2)=0,"",OFFSET(bd_schd!$C$1,MATCH(bond_calc!A15,bd_schd!$C:$C,0)-1,2))</f>
        <v>43689</v>
      </c>
      <c r="V15" s="133">
        <f ca="1">+IF(OFFSET(bd_schd!$C$1,MATCH(bond_calc!A15,bd_schd!$C:$C,0)-1,3)=0,"",OFFSET(bd_schd!$C$1,MATCH(bond_calc!A15,bd_schd!$C:$C,0)-1,3))</f>
        <v>43873</v>
      </c>
      <c r="W15" s="76"/>
      <c r="X15" s="76"/>
      <c r="AA15" s="159"/>
      <c r="AB15" s="159"/>
      <c r="AC15" s="159"/>
      <c r="AD15" s="77"/>
      <c r="AE15" s="77"/>
      <c r="AF15" s="77"/>
    </row>
    <row r="16" spans="1:47">
      <c r="A16" s="89" t="s">
        <v>127</v>
      </c>
      <c r="B16" s="158" t="str">
        <f ca="1">+OFFSET(bd_bonos!$A$1,MATCH(bond_calc!$A16,bd_bonos!$A:$A,0)-1,11)</f>
        <v>12/02/2029</v>
      </c>
      <c r="C16" s="98">
        <f ca="1">+OFFSET(bd_bonos!$A$1,MATCH(bond_calc!$A16,bd_bonos!$A:$A,0)-1,4)/100</f>
        <v>5.9400000000000001E-2</v>
      </c>
      <c r="D16" s="158" t="str">
        <f ca="1">+OFFSET(bd_bonos!$A$1,MATCH(bond_calc!$A16,bd_bonos!$A:$A,0)-1,12)</f>
        <v>PEN</v>
      </c>
      <c r="E16" s="98">
        <f ca="1">+OFFSET(bd_historicas!$A$1,MATCH($A16,bd_historicas!$D:$D,0)+3,MATCH(E$1,bd_historicas!$D$4:$J$4,0)+2)/100</f>
        <v>4.9480000000000003E-2</v>
      </c>
      <c r="F16" s="98">
        <f ca="1">+OFFSET(bd_historicas!$A$1,MATCH($A16,bd_historicas!$D:$D,0)+3,MATCH(F$1,bd_historicas!$D$4:$J$4,0)+2)/100</f>
        <v>4.9259999999999998E-2</v>
      </c>
      <c r="G16" s="98">
        <f ca="1">+OFFSET(bd_historicas!$A$1,MATCH($A16,bd_historicas!$D:$D,0)+3,MATCH(G$1,bd_historicas!$D$4:$J$4,0)+2)/100</f>
        <v>4.9370000000000004E-2</v>
      </c>
      <c r="H16" s="77">
        <f ca="1">+OFFSET(bd_historicas!$A$1,MATCH($A16,bd_historicas!$D:$D,0)+3,MATCH(H$1,bd_historicas!$D$4:$J$4,0)+2)</f>
        <v>107.417</v>
      </c>
      <c r="I16" s="77">
        <f ca="1">+OFFSET(bd_historicas!$A$1,MATCH($A16,bd_historicas!$D:$D,0)+3,MATCH(I$1,bd_historicas!$D$4:$J$4,0)+2)</f>
        <v>107.59399999999999</v>
      </c>
      <c r="J16" s="77">
        <f ca="1">+OFFSET(bd_historicas!$A$1,MATCH($A16,bd_historicas!$D:$D,0)+3,MATCH(J$1,bd_historicas!$D$4:$J$4,0)+2)</f>
        <v>107.506</v>
      </c>
      <c r="K16" s="73">
        <f ca="1">+(B16-intercambio!$B$6)/365</f>
        <v>9.213698630136987</v>
      </c>
      <c r="L16" s="99">
        <f ca="1">+IF($D16&lt;&gt;"PEN",((((1+_xll.Interp($K16,$AG$3:$AG$13,$AC$3:$AC$13))^(0.5)-1)*2)*365/360),$G16)</f>
        <v>4.9370000000000004E-2</v>
      </c>
      <c r="M16" s="99">
        <f ca="1">+IF($D16&lt;&gt;"PEN",_xll.Interp($K16,icap!$C$2:$C$11,icap!$F$2:$F$11),0)</f>
        <v>0</v>
      </c>
      <c r="N16" s="99">
        <f t="shared" ca="1" si="13"/>
        <v>4.9370000000000004E-2</v>
      </c>
      <c r="O16" s="77"/>
      <c r="P16" s="99">
        <f t="shared" ca="1" si="0"/>
        <v>4.9370000000000004E-2</v>
      </c>
      <c r="Q16" s="77"/>
      <c r="R16" s="77"/>
      <c r="S16" s="77">
        <f ca="1">+IF($D16="PEN",J16,IF(OR($D16="USD",$D16="EUR"),PRICE(intercambio!$B$6,bond_calc!$B16,bond_calc!$C16,bond_calc!$N16,100,2,0)))</f>
        <v>107.506</v>
      </c>
      <c r="T16" s="78">
        <f ca="1">+OFFSET(bd_bonos!$A$1,MATCH(bond_calc!$A16,bd_bonos!$A$1:$A$28,0)-1,33)</f>
        <v>12025000000</v>
      </c>
      <c r="U16" s="134">
        <f ca="1">+IF(OFFSET(bd_schd!$C$1,MATCH(bond_calc!A16,bd_schd!$C:$C,0)-1,2)=0,"",OFFSET(bd_schd!$C$1,MATCH(bond_calc!A16,bd_schd!$C:$C,0)-1,2))</f>
        <v>43689</v>
      </c>
      <c r="V16" s="133">
        <f ca="1">+IF(OFFSET(bd_schd!$C$1,MATCH(bond_calc!A16,bd_schd!$C:$C,0)-1,3)=0,"",OFFSET(bd_schd!$C$1,MATCH(bond_calc!A16,bd_schd!$C:$C,0)-1,3))</f>
        <v>43873</v>
      </c>
      <c r="W16" s="76"/>
      <c r="X16" s="76"/>
      <c r="AA16" s="159"/>
      <c r="AB16" s="159"/>
      <c r="AC16" s="159"/>
      <c r="AD16" s="77"/>
      <c r="AE16" s="77"/>
      <c r="AF16" s="77"/>
      <c r="AJ16" s="158"/>
      <c r="AN16" s="98"/>
      <c r="AO16" s="98"/>
      <c r="AP16" s="98"/>
      <c r="AQ16" s="158"/>
      <c r="AR16" s="158"/>
      <c r="AS16" s="158"/>
    </row>
    <row r="17" spans="1:45">
      <c r="A17" s="89" t="s">
        <v>122</v>
      </c>
      <c r="B17" s="158" t="str">
        <f ca="1">+OFFSET(bd_bonos!$A$1,MATCH(bond_calc!$A17,bd_bonos!$A:$A,0)-1,11)</f>
        <v>12/08/2031</v>
      </c>
      <c r="C17" s="98">
        <f ca="1">+OFFSET(bd_bonos!$A$1,MATCH(bond_calc!$A17,bd_bonos!$A:$A,0)-1,4)/100</f>
        <v>6.9500000000000006E-2</v>
      </c>
      <c r="D17" s="158" t="str">
        <f ca="1">+OFFSET(bd_bonos!$A$1,MATCH(bond_calc!$A17,bd_bonos!$A:$A,0)-1,12)</f>
        <v>PEN</v>
      </c>
      <c r="E17" s="98">
        <f ca="1">+OFFSET(bd_historicas!$A$1,MATCH($A17,bd_historicas!$D:$D,0)+3,MATCH(E$1,bd_historicas!$D$4:$J$4,0)+2)/100</f>
        <v>5.2049999999999999E-2</v>
      </c>
      <c r="F17" s="98">
        <f ca="1">+OFFSET(bd_historicas!$A$1,MATCH($A17,bd_historicas!$D:$D,0)+3,MATCH(F$1,bd_historicas!$D$4:$J$4,0)+2)/100</f>
        <v>5.1830000000000001E-2</v>
      </c>
      <c r="G17" s="98">
        <f ca="1">+OFFSET(bd_historicas!$A$1,MATCH($A17,bd_historicas!$D:$D,0)+3,MATCH(G$1,bd_historicas!$D$4:$J$4,0)+2)/100</f>
        <v>5.194E-2</v>
      </c>
      <c r="H17" s="77">
        <f ca="1">+OFFSET(bd_historicas!$A$1,MATCH($A17,bd_historicas!$D:$D,0)+3,MATCH(H$1,bd_historicas!$D$4:$J$4,0)+2)</f>
        <v>115.461</v>
      </c>
      <c r="I17" s="77">
        <f ca="1">+OFFSET(bd_historicas!$A$1,MATCH($A17,bd_historicas!$D:$D,0)+3,MATCH(I$1,bd_historicas!$D$4:$J$4,0)+2)</f>
        <v>115.672</v>
      </c>
      <c r="J17" s="77">
        <f ca="1">+OFFSET(bd_historicas!$A$1,MATCH($A17,bd_historicas!$D:$D,0)+3,MATCH(J$1,bd_historicas!$D$4:$J$4,0)+2)</f>
        <v>115.566</v>
      </c>
      <c r="K17" s="73">
        <f ca="1">+(B17-intercambio!$B$6)/365</f>
        <v>11.70958904109589</v>
      </c>
      <c r="L17" s="99">
        <f ca="1">+IF($D17&lt;&gt;"PEN",((((1+_xll.Interp($K17,$AG$3:$AG$13,$AC$3:$AC$13))^(0.5)-1)*2)*365/360),$G17)</f>
        <v>5.194E-2</v>
      </c>
      <c r="M17" s="99">
        <f ca="1">+IF($D17&lt;&gt;"PEN",_xll.Interp($K17,icap!$C$2:$C$11,icap!$F$2:$F$11),0)</f>
        <v>0</v>
      </c>
      <c r="N17" s="99">
        <f t="shared" ca="1" si="13"/>
        <v>5.194E-2</v>
      </c>
      <c r="O17" s="77"/>
      <c r="P17" s="99">
        <f t="shared" ca="1" si="0"/>
        <v>5.194E-2</v>
      </c>
      <c r="Q17" s="77"/>
      <c r="R17" s="77"/>
      <c r="S17" s="77">
        <f ca="1">+IF($D17="PEN",J17,IF(OR($D17="USD",$D17="EUR"),PRICE(intercambio!$B$6,bond_calc!$B17,bond_calc!$C17,bond_calc!$N17,100,2,0)))</f>
        <v>115.566</v>
      </c>
      <c r="T17" s="78">
        <f ca="1">+OFFSET(bd_bonos!$A$1,MATCH(bond_calc!$A17,bd_bonos!$A$1:$A$28,0)-1,33)</f>
        <v>14292244000</v>
      </c>
      <c r="U17" s="134">
        <f ca="1">+IF(OFFSET(bd_schd!$C$1,MATCH(bond_calc!A17,bd_schd!$C:$C,0)-1,2)=0,"",OFFSET(bd_schd!$C$1,MATCH(bond_calc!A17,bd_schd!$C:$C,0)-1,2))</f>
        <v>43689</v>
      </c>
      <c r="V17" s="133">
        <f ca="1">+IF(OFFSET(bd_schd!$C$1,MATCH(bond_calc!A17,bd_schd!$C:$C,0)-1,3)=0,"",OFFSET(bd_schd!$C$1,MATCH(bond_calc!A17,bd_schd!$C:$C,0)-1,3))</f>
        <v>43873</v>
      </c>
      <c r="W17" s="76"/>
      <c r="X17" s="76"/>
      <c r="AA17" s="159"/>
      <c r="AB17" s="159"/>
      <c r="AC17" s="159"/>
      <c r="AD17" s="77"/>
      <c r="AE17" s="77"/>
      <c r="AF17" s="77"/>
      <c r="AJ17" s="158"/>
      <c r="AN17" s="98"/>
      <c r="AO17" s="98"/>
      <c r="AP17" s="98"/>
      <c r="AQ17" s="158"/>
      <c r="AR17" s="158"/>
      <c r="AS17" s="158"/>
    </row>
    <row r="18" spans="1:45">
      <c r="A18" s="89" t="s">
        <v>123</v>
      </c>
      <c r="B18" s="158" t="str">
        <f ca="1">+OFFSET(bd_bonos!$A$1,MATCH(bond_calc!$A18,bd_bonos!$A:$A,0)-1,11)</f>
        <v>12/08/2032</v>
      </c>
      <c r="C18" s="98">
        <f ca="1">+OFFSET(bd_bonos!$A$1,MATCH(bond_calc!$A18,bd_bonos!$A:$A,0)-1,4)/100</f>
        <v>6.1500000000000006E-2</v>
      </c>
      <c r="D18" s="158" t="str">
        <f ca="1">+OFFSET(bd_bonos!$A$1,MATCH(bond_calc!$A18,bd_bonos!$A:$A,0)-1,12)</f>
        <v>PEN</v>
      </c>
      <c r="E18" s="98">
        <f ca="1">+OFFSET(bd_historicas!$A$1,MATCH($A18,bd_historicas!$D:$D,0)+3,MATCH(E$1,bd_historicas!$D$4:$J$4,0)+2)/100</f>
        <v>5.3040000000000004E-2</v>
      </c>
      <c r="F18" s="98">
        <f ca="1">+OFFSET(bd_historicas!$A$1,MATCH($A18,bd_historicas!$D:$D,0)+3,MATCH(F$1,bd_historicas!$D$4:$J$4,0)+2)/100</f>
        <v>5.2740000000000002E-2</v>
      </c>
      <c r="G18" s="98">
        <f ca="1">+OFFSET(bd_historicas!$A$1,MATCH($A18,bd_historicas!$D:$D,0)+3,MATCH(G$1,bd_historicas!$D$4:$J$4,0)+2)/100</f>
        <v>5.289E-2</v>
      </c>
      <c r="H18" s="77">
        <f ca="1">+OFFSET(bd_historicas!$A$1,MATCH($A18,bd_historicas!$D:$D,0)+3,MATCH(H$1,bd_historicas!$D$4:$J$4,0)+2)</f>
        <v>107.833</v>
      </c>
      <c r="I18" s="77">
        <f ca="1">+OFFSET(bd_historicas!$A$1,MATCH($A18,bd_historicas!$D:$D,0)+3,MATCH(I$1,bd_historicas!$D$4:$J$4,0)+2)</f>
        <v>108.133</v>
      </c>
      <c r="J18" s="77">
        <f ca="1">+OFFSET(bd_historicas!$A$1,MATCH($A18,bd_historicas!$D:$D,0)+3,MATCH(J$1,bd_historicas!$D$4:$J$4,0)+2)</f>
        <v>107.983</v>
      </c>
      <c r="K18" s="73">
        <f ca="1">+(B18-intercambio!$B$6)/365</f>
        <v>12.712328767123287</v>
      </c>
      <c r="L18" s="99">
        <f ca="1">+IF($D18&lt;&gt;"PEN",((((1+_xll.Interp($K18,$AG$3:$AG$13,$AC$3:$AC$13))^(0.5)-1)*2)*365/360),$G18)</f>
        <v>5.289E-2</v>
      </c>
      <c r="M18" s="99">
        <f ca="1">+IF($D18&lt;&gt;"PEN",_xll.Interp($K18,icap!$C$2:$C$11,icap!$F$2:$F$11),0)</f>
        <v>0</v>
      </c>
      <c r="N18" s="99">
        <f t="shared" ca="1" si="13"/>
        <v>5.289E-2</v>
      </c>
      <c r="O18" s="77"/>
      <c r="P18" s="99">
        <f t="shared" ca="1" si="0"/>
        <v>5.289E-2</v>
      </c>
      <c r="Q18" s="77"/>
      <c r="R18" s="77"/>
      <c r="S18" s="77">
        <f ca="1">+IF($D18="PEN",J18,IF(OR($D18="USD",$D18="EUR"),PRICE(intercambio!$B$6,bond_calc!$B18,bond_calc!$C18,bond_calc!$N18,100,2,0)))</f>
        <v>107.983</v>
      </c>
      <c r="T18" s="78">
        <f ca="1">+OFFSET(bd_bonos!$A$1,MATCH(bond_calc!$A18,bd_bonos!$A$1:$A$28,0)-1,33)</f>
        <v>13113207000</v>
      </c>
      <c r="U18" s="134">
        <f ca="1">+IF(OFFSET(bd_schd!$C$1,MATCH(bond_calc!A18,bd_schd!$C:$C,0)-1,2)=0,"",OFFSET(bd_schd!$C$1,MATCH(bond_calc!A18,bd_schd!$C:$C,0)-1,2))</f>
        <v>43689</v>
      </c>
      <c r="V18" s="133">
        <f ca="1">+IF(OFFSET(bd_schd!$C$1,MATCH(bond_calc!A18,bd_schd!$C:$C,0)-1,3)=0,"",OFFSET(bd_schd!$C$1,MATCH(bond_calc!A18,bd_schd!$C:$C,0)-1,3))</f>
        <v>43873</v>
      </c>
      <c r="W18" s="76"/>
      <c r="X18" s="76"/>
      <c r="AA18" s="159"/>
      <c r="AB18" s="159"/>
      <c r="AC18" s="159"/>
      <c r="AD18" s="77"/>
      <c r="AE18" s="77"/>
      <c r="AF18" s="77"/>
      <c r="AJ18" s="158"/>
      <c r="AN18" s="98"/>
      <c r="AO18" s="98"/>
      <c r="AP18" s="98"/>
      <c r="AQ18" s="158"/>
      <c r="AR18" s="158"/>
      <c r="AS18" s="158"/>
    </row>
    <row r="19" spans="1:45">
      <c r="A19" s="89" t="s">
        <v>124</v>
      </c>
      <c r="B19" s="158" t="str">
        <f ca="1">+OFFSET(bd_bonos!$A$1,MATCH(bond_calc!$A19,bd_bonos!$A:$A,0)-1,11)</f>
        <v>12/08/2037</v>
      </c>
      <c r="C19" s="98">
        <f ca="1">+OFFSET(bd_bonos!$A$1,MATCH(bond_calc!$A19,bd_bonos!$A:$A,0)-1,4)/100</f>
        <v>6.9000000000000006E-2</v>
      </c>
      <c r="D19" s="158" t="str">
        <f ca="1">+OFFSET(bd_bonos!$A$1,MATCH(bond_calc!$A19,bd_bonos!$A:$A,0)-1,12)</f>
        <v>PEN</v>
      </c>
      <c r="E19" s="98">
        <f ca="1">+OFFSET(bd_historicas!$A$1,MATCH($A19,bd_historicas!$D:$D,0)+3,MATCH(E$1,bd_historicas!$D$4:$J$4,0)+2)/100</f>
        <v>5.57E-2</v>
      </c>
      <c r="F19" s="98">
        <f ca="1">+OFFSET(bd_historicas!$A$1,MATCH($A19,bd_historicas!$D:$D,0)+3,MATCH(F$1,bd_historicas!$D$4:$J$4,0)+2)/100</f>
        <v>5.5410000000000001E-2</v>
      </c>
      <c r="G19" s="98">
        <f ca="1">+OFFSET(bd_historicas!$A$1,MATCH($A19,bd_historicas!$D:$D,0)+3,MATCH(G$1,bd_historicas!$D$4:$J$4,0)+2)/100</f>
        <v>5.5559999999999998E-2</v>
      </c>
      <c r="H19" s="77">
        <f ca="1">+OFFSET(bd_historicas!$A$1,MATCH($A19,bd_historicas!$D:$D,0)+3,MATCH(H$1,bd_historicas!$D$4:$J$4,0)+2)</f>
        <v>114.976</v>
      </c>
      <c r="I19" s="77">
        <f ca="1">+OFFSET(bd_historicas!$A$1,MATCH($A19,bd_historicas!$D:$D,0)+3,MATCH(I$1,bd_historicas!$D$4:$J$4,0)+2)</f>
        <v>115.34</v>
      </c>
      <c r="J19" s="77">
        <f ca="1">+OFFSET(bd_historicas!$A$1,MATCH($A19,bd_historicas!$D:$D,0)+3,MATCH(J$1,bd_historicas!$D$4:$J$4,0)+2)</f>
        <v>115.158</v>
      </c>
      <c r="K19" s="73">
        <f ca="1">+(B19-intercambio!$B$6)/365</f>
        <v>17.715068493150685</v>
      </c>
      <c r="L19" s="99">
        <f ca="1">+IF($D19&lt;&gt;"PEN",((((1+_xll.Interp($K19,$AG$3:$AG$13,$AC$3:$AC$13))^(0.5)-1)*2)*365/360),$G19)</f>
        <v>5.5559999999999998E-2</v>
      </c>
      <c r="M19" s="99">
        <f ca="1">+IF($D19&lt;&gt;"PEN",_xll.Interp($K19,icap!$C$2:$C$11,icap!$F$2:$F$11),0)</f>
        <v>0</v>
      </c>
      <c r="N19" s="99">
        <f t="shared" ca="1" si="13"/>
        <v>5.5559999999999998E-2</v>
      </c>
      <c r="O19" s="77"/>
      <c r="P19" s="99">
        <f t="shared" ca="1" si="0"/>
        <v>5.5559999999999998E-2</v>
      </c>
      <c r="Q19" s="77"/>
      <c r="R19" s="77"/>
      <c r="S19" s="77">
        <f ca="1">+IF($D19="PEN",J19,IF(OR($D19="USD",$D19="EUR"),PRICE(intercambio!$B$6,bond_calc!$B19,bond_calc!$C19,bond_calc!$N19,100,2,0)))</f>
        <v>115.158</v>
      </c>
      <c r="T19" s="78">
        <f ca="1">+OFFSET(bd_bonos!$A$1,MATCH(bond_calc!$A19,bd_bonos!$A$1:$A$28,0)-1,33)</f>
        <v>11665414000</v>
      </c>
      <c r="U19" s="134">
        <f ca="1">+IF(OFFSET(bd_schd!$C$1,MATCH(bond_calc!A19,bd_schd!$C:$C,0)-1,2)=0,"",OFFSET(bd_schd!$C$1,MATCH(bond_calc!A19,bd_schd!$C:$C,0)-1,2))</f>
        <v>43689</v>
      </c>
      <c r="V19" s="133">
        <f ca="1">+IF(OFFSET(bd_schd!$C$1,MATCH(bond_calc!A19,bd_schd!$C:$C,0)-1,3)=0,"",OFFSET(bd_schd!$C$1,MATCH(bond_calc!A19,bd_schd!$C:$C,0)-1,3))</f>
        <v>43873</v>
      </c>
      <c r="W19" s="76"/>
      <c r="X19" s="76"/>
      <c r="AA19" s="159"/>
      <c r="AB19" s="159"/>
      <c r="AC19" s="159"/>
      <c r="AD19" s="77"/>
      <c r="AE19" s="77"/>
      <c r="AF19" s="77"/>
      <c r="AJ19" s="158"/>
      <c r="AN19" s="98"/>
      <c r="AO19" s="98"/>
      <c r="AP19" s="98"/>
      <c r="AQ19" s="158"/>
      <c r="AR19" s="158"/>
      <c r="AS19" s="158"/>
    </row>
    <row r="20" spans="1:45">
      <c r="A20" s="89" t="s">
        <v>125</v>
      </c>
      <c r="B20" s="158" t="str">
        <f ca="1">+OFFSET(bd_bonos!$A$1,MATCH(bond_calc!$A20,bd_bonos!$A:$A,0)-1,11)</f>
        <v>12/02/2042</v>
      </c>
      <c r="C20" s="98">
        <f ca="1">+OFFSET(bd_bonos!$A$1,MATCH(bond_calc!$A20,bd_bonos!$A:$A,0)-1,4)/100</f>
        <v>6.8499999999999991E-2</v>
      </c>
      <c r="D20" s="158" t="str">
        <f ca="1">+OFFSET(bd_bonos!$A$1,MATCH(bond_calc!$A20,bd_bonos!$A:$A,0)-1,12)</f>
        <v>PEN</v>
      </c>
      <c r="E20" s="98">
        <f ca="1">+OFFSET(bd_historicas!$A$1,MATCH($A20,bd_historicas!$D:$D,0)+3,MATCH(E$1,bd_historicas!$D$4:$J$4,0)+2)/100</f>
        <v>5.7670000000000006E-2</v>
      </c>
      <c r="F20" s="98">
        <f ca="1">+OFFSET(bd_historicas!$A$1,MATCH($A20,bd_historicas!$D:$D,0)+3,MATCH(F$1,bd_historicas!$D$4:$J$4,0)+2)/100</f>
        <v>5.7050000000000003E-2</v>
      </c>
      <c r="G20" s="98">
        <f ca="1">+OFFSET(bd_historicas!$A$1,MATCH($A20,bd_historicas!$D:$D,0)+3,MATCH(G$1,bd_historicas!$D$4:$J$4,0)+2)/100</f>
        <v>5.7359999999999994E-2</v>
      </c>
      <c r="H20" s="77">
        <f ca="1">+OFFSET(bd_historicas!$A$1,MATCH($A20,bd_historicas!$D:$D,0)+3,MATCH(H$1,bd_historicas!$D$4:$J$4,0)+2)</f>
        <v>113.536</v>
      </c>
      <c r="I20" s="77">
        <f ca="1">+OFFSET(bd_historicas!$A$1,MATCH($A20,bd_historicas!$D:$D,0)+3,MATCH(I$1,bd_historicas!$D$4:$J$4,0)+2)</f>
        <v>114.378</v>
      </c>
      <c r="J20" s="77">
        <f ca="1">+OFFSET(bd_historicas!$A$1,MATCH($A20,bd_historicas!$D:$D,0)+3,MATCH(J$1,bd_historicas!$D$4:$J$4,0)+2)</f>
        <v>113.95699999999999</v>
      </c>
      <c r="K20" s="73">
        <f ca="1">+(B20-intercambio!$B$6)/365</f>
        <v>22.221917808219178</v>
      </c>
      <c r="L20" s="99">
        <f ca="1">+IF($D20&lt;&gt;"PEN",((((1+_xll.Interp($K20,$AG$3:$AG$13,$AC$3:$AC$13))^(0.5)-1)*2)*365/360),$G20)</f>
        <v>5.7359999999999994E-2</v>
      </c>
      <c r="M20" s="99">
        <f ca="1">+IF($D20&lt;&gt;"PEN",_xll.Interp($K20,icap!$C$2:$C$11,icap!$F$2:$F$11),0)</f>
        <v>0</v>
      </c>
      <c r="N20" s="99">
        <f t="shared" ca="1" si="13"/>
        <v>5.7359999999999994E-2</v>
      </c>
      <c r="O20" s="77"/>
      <c r="P20" s="99">
        <f t="shared" ca="1" si="0"/>
        <v>5.7359999999999994E-2</v>
      </c>
      <c r="Q20" s="77"/>
      <c r="R20" s="77"/>
      <c r="S20" s="77">
        <f ca="1">+IF($D20="PEN",J20,IF(OR($D20="USD",$D20="EUR"),PRICE(intercambio!$B$6,bond_calc!$B20,bond_calc!$C20,bond_calc!$N20,100,2,0)))</f>
        <v>113.95699999999999</v>
      </c>
      <c r="T20" s="78">
        <f ca="1">+OFFSET(bd_bonos!$A$1,MATCH(bond_calc!$A20,bd_bonos!$A$1:$A$28,0)-1,33)</f>
        <v>4443473000</v>
      </c>
      <c r="U20" s="134">
        <f ca="1">+IF(OFFSET(bd_schd!$C$1,MATCH(bond_calc!A20,bd_schd!$C:$C,0)-1,2)=0,"",OFFSET(bd_schd!$C$1,MATCH(bond_calc!A20,bd_schd!$C:$C,0)-1,2))</f>
        <v>43689</v>
      </c>
      <c r="V20" s="133">
        <f ca="1">+IF(OFFSET(bd_schd!$C$1,MATCH(bond_calc!A20,bd_schd!$C:$C,0)-1,3)=0,"",OFFSET(bd_schd!$C$1,MATCH(bond_calc!A20,bd_schd!$C:$C,0)-1,3))</f>
        <v>43873</v>
      </c>
      <c r="W20" s="76"/>
      <c r="X20" s="76"/>
      <c r="AA20" s="159"/>
      <c r="AB20" s="159"/>
      <c r="AC20" s="159"/>
      <c r="AD20" s="77"/>
      <c r="AE20" s="77"/>
      <c r="AF20" s="77"/>
      <c r="AJ20" s="158"/>
      <c r="AN20" s="98"/>
      <c r="AO20" s="98"/>
      <c r="AP20" s="98"/>
      <c r="AQ20" s="158"/>
      <c r="AR20" s="158"/>
      <c r="AS20" s="158"/>
    </row>
    <row r="21" spans="1:45">
      <c r="A21" s="89" t="s">
        <v>126</v>
      </c>
      <c r="B21" s="158" t="str">
        <f ca="1">+OFFSET(bd_bonos!$A$1,MATCH(bond_calc!$A21,bd_bonos!$A:$A,0)-1,11)</f>
        <v>12/02/2055</v>
      </c>
      <c r="C21" s="98">
        <f ca="1">+OFFSET(bd_bonos!$A$1,MATCH(bond_calc!$A21,bd_bonos!$A:$A,0)-1,4)/100</f>
        <v>6.7141999999999993E-2</v>
      </c>
      <c r="D21" s="158" t="str">
        <f ca="1">+OFFSET(bd_bonos!$A$1,MATCH(bond_calc!$A21,bd_bonos!$A:$A,0)-1,12)</f>
        <v>PEN</v>
      </c>
      <c r="E21" s="98">
        <f ca="1">+OFFSET(bd_historicas!$A$1,MATCH($A21,bd_historicas!$D:$D,0)+3,MATCH(E$1,bd_historicas!$D$4:$J$4,0)+2)/100</f>
        <v>5.849E-2</v>
      </c>
      <c r="F21" s="98">
        <f ca="1">+OFFSET(bd_historicas!$A$1,MATCH($A21,bd_historicas!$D:$D,0)+3,MATCH(F$1,bd_historicas!$D$4:$J$4,0)+2)/100</f>
        <v>5.7980000000000004E-2</v>
      </c>
      <c r="G21" s="98">
        <f ca="1">+OFFSET(bd_historicas!$A$1,MATCH($A21,bd_historicas!$D:$D,0)+3,MATCH(G$1,bd_historicas!$D$4:$J$4,0)+2)/100</f>
        <v>5.824E-2</v>
      </c>
      <c r="H21" s="77">
        <f ca="1">+OFFSET(bd_historicas!$A$1,MATCH($A21,bd_historicas!$D:$D,0)+3,MATCH(H$1,bd_historicas!$D$4:$J$4,0)+2)</f>
        <v>112.834</v>
      </c>
      <c r="I21" s="77">
        <f ca="1">+OFFSET(bd_historicas!$A$1,MATCH($A21,bd_historicas!$D:$D,0)+3,MATCH(I$1,bd_historicas!$D$4:$J$4,0)+2)</f>
        <v>113.67700000000001</v>
      </c>
      <c r="J21" s="77">
        <f ca="1">+OFFSET(bd_historicas!$A$1,MATCH($A21,bd_historicas!$D:$D,0)+3,MATCH(J$1,bd_historicas!$D$4:$J$4,0)+2)</f>
        <v>113.256</v>
      </c>
      <c r="K21" s="73">
        <f ca="1">+(B21-intercambio!$B$6)/365</f>
        <v>35.230136986301368</v>
      </c>
      <c r="L21" s="99">
        <f ca="1">+IF($D21&lt;&gt;"PEN",((((1+_xll.Interp($K21,$AG$3:$AG$13,$AC$3:$AC$13))^(0.5)-1)*2)*365/360),$G21)</f>
        <v>5.824E-2</v>
      </c>
      <c r="M21" s="99">
        <f ca="1">+IF($D21&lt;&gt;"PEN",_xll.Interp($K21,icap!$C$2:$C$11,icap!$F$2:$F$11),0)</f>
        <v>0</v>
      </c>
      <c r="N21" s="99">
        <f t="shared" ca="1" si="13"/>
        <v>5.824E-2</v>
      </c>
      <c r="O21" s="77"/>
      <c r="P21" s="99">
        <f t="shared" ca="1" si="0"/>
        <v>5.824E-2</v>
      </c>
      <c r="Q21" s="77"/>
      <c r="R21" s="77"/>
      <c r="S21" s="77">
        <f ca="1">+IF($D21="PEN",J21,IF(OR($D21="USD",$D21="EUR"),PRICE(intercambio!$B$6,bond_calc!$B21,bond_calc!$C21,bond_calc!$N21,100,2,0)))</f>
        <v>113.256</v>
      </c>
      <c r="T21" s="78">
        <f ca="1">+OFFSET(bd_bonos!$A$1,MATCH(bond_calc!$A21,bd_bonos!$A$1:$A$28,0)-1,33)</f>
        <v>2271843000</v>
      </c>
      <c r="U21" s="134">
        <f ca="1">+IF(OFFSET(bd_schd!$C$1,MATCH(bond_calc!A21,bd_schd!$C:$C,0)-1,2)=0,"",OFFSET(bd_schd!$C$1,MATCH(bond_calc!A21,bd_schd!$C:$C,0)-1,2))</f>
        <v>43689</v>
      </c>
      <c r="V21" s="133">
        <f ca="1">+IF(OFFSET(bd_schd!$C$1,MATCH(bond_calc!A21,bd_schd!$C:$C,0)-1,3)=0,"",OFFSET(bd_schd!$C$1,MATCH(bond_calc!A21,bd_schd!$C:$C,0)-1,3))</f>
        <v>43873</v>
      </c>
      <c r="W21" s="76"/>
      <c r="X21" s="76"/>
      <c r="AA21" s="159"/>
      <c r="AB21" s="159"/>
      <c r="AC21" s="159"/>
      <c r="AD21" s="77"/>
      <c r="AE21" s="77"/>
      <c r="AF21" s="77"/>
      <c r="AJ21" s="158"/>
      <c r="AN21" s="98"/>
      <c r="AO21" s="98"/>
      <c r="AP21" s="98"/>
      <c r="AQ21" s="158"/>
      <c r="AR21" s="158"/>
      <c r="AS21" s="158"/>
    </row>
    <row r="22" spans="1:45">
      <c r="A22" s="89" t="s">
        <v>384</v>
      </c>
      <c r="B22" s="158" t="str">
        <f ca="1">+OFFSET(bd_bonos!$A$1,MATCH(bond_calc!$A22,bd_bonos!$A:$A,0)-1,11)</f>
        <v>13/10/2024</v>
      </c>
      <c r="C22" s="98">
        <f ca="1">+OFFSET(bd_bonos!$A$1,MATCH(bond_calc!$A22,bd_bonos!$A:$A,0)-1,4)/100</f>
        <v>6.8399000000000001E-2</v>
      </c>
      <c r="D22" s="158" t="str">
        <f ca="1">+OFFSET(bd_bonos!$A$1,MATCH(bond_calc!$A22,bd_bonos!$A:$A,0)-1,12)</f>
        <v>PEN</v>
      </c>
      <c r="E22" s="98">
        <f ca="1">+OFFSET(bd_historicas!$A$1,MATCH($A22,bd_historicas!$D:$D,0)+3,MATCH(E$1,bd_historicas!$D$4:$J$4,0)+2)/100</f>
        <v>0</v>
      </c>
      <c r="F22" s="98">
        <f ca="1">+OFFSET(bd_historicas!$A$1,MATCH($A22,bd_historicas!$D:$D,0)+3,MATCH(F$1,bd_historicas!$D$4:$J$4,0)+2)/100</f>
        <v>0</v>
      </c>
      <c r="G22" s="98">
        <f ca="1">+OFFSET(bd_historicas!$A$1,MATCH($A22,bd_historicas!$D:$D,0)+3,MATCH(G$1,bd_historicas!$D$4:$J$4,0)+2)/100</f>
        <v>0</v>
      </c>
      <c r="H22" s="77">
        <f ca="1">+OFFSET(bd_historicas!$A$1,MATCH($A22,bd_historicas!$D:$D,0)+3,MATCH(H$1,bd_historicas!$D$4:$J$4,0)+2)</f>
        <v>0</v>
      </c>
      <c r="I22" s="77">
        <f ca="1">+OFFSET(bd_historicas!$A$1,MATCH($A22,bd_historicas!$D:$D,0)+3,MATCH(I$1,bd_historicas!$D$4:$J$4,0)+2)</f>
        <v>0</v>
      </c>
      <c r="J22" s="77">
        <f ca="1">+OFFSET(bd_historicas!$A$1,MATCH($A22,bd_historicas!$D:$D,0)+3,MATCH(J$1,bd_historicas!$D$4:$J$4,0)+2)</f>
        <v>0</v>
      </c>
      <c r="K22" s="73">
        <f ca="1">+(B22-intercambio!$B$6)/365</f>
        <v>4.8767123287671232</v>
      </c>
      <c r="L22" s="99">
        <f ca="1">+IF($D22&lt;&gt;"PEN",((((1+_xll.Interp($K22,$AG$3:$AG$13,$AC$3:$AC$13))^(0.5)-1)*2)*365/360),$G22)</f>
        <v>0</v>
      </c>
      <c r="M22" s="99">
        <f ca="1">+IF($D22&lt;&gt;"PEN",_xll.Interp($K22,icap!$C$2:$C$11,icap!$F$2:$F$11),0)</f>
        <v>0</v>
      </c>
      <c r="N22" s="99">
        <f t="shared" ca="1" si="13"/>
        <v>0</v>
      </c>
      <c r="O22" s="77"/>
      <c r="P22" s="99">
        <f t="shared" ca="1" si="0"/>
        <v>0</v>
      </c>
      <c r="Q22" s="77"/>
      <c r="R22" s="77"/>
      <c r="S22" s="77">
        <f ca="1">+IF($D22="PEN",J22,IF(OR($D22="USD",$D22="EUR"),PRICE(intercambio!$B$6,bond_calc!$B22,bond_calc!$C22,bond_calc!$N22,100,2,0)))</f>
        <v>0</v>
      </c>
      <c r="T22" s="78">
        <f ca="1">+OFFSET(bd_bonos!$A$1,MATCH(bond_calc!$A22,bd_bonos!$A$1:$A$28,0)-1,33)</f>
        <v>1316895466.5899999</v>
      </c>
      <c r="U22" s="134">
        <f ca="1">+IF(OFFSET(bd_schd!$C$1,MATCH(bond_calc!A22,bd_schd!$C:$C,0)-1,2)=0,"",OFFSET(bd_schd!$C$1,MATCH(bond_calc!A22,bd_schd!$C:$C,0)-1,2))</f>
        <v>43751</v>
      </c>
      <c r="V22" s="133">
        <f ca="1">+IF(OFFSET(bd_schd!$C$1,MATCH(bond_calc!A22,bd_schd!$C:$C,0)-1,3)=0,"",OFFSET(bd_schd!$C$1,MATCH(bond_calc!A22,bd_schd!$C:$C,0)-1,3))</f>
        <v>43934</v>
      </c>
      <c r="W22" s="76"/>
      <c r="X22" s="76"/>
      <c r="AA22" s="159"/>
      <c r="AB22" s="159"/>
      <c r="AC22" s="159"/>
      <c r="AD22" s="77"/>
      <c r="AE22" s="77"/>
      <c r="AF22" s="77"/>
      <c r="AJ22" s="158"/>
      <c r="AN22" s="98"/>
      <c r="AO22" s="98"/>
      <c r="AP22" s="98"/>
      <c r="AQ22" s="158"/>
      <c r="AR22" s="158"/>
      <c r="AS22" s="158"/>
    </row>
    <row r="23" spans="1:45">
      <c r="A23" s="89" t="s">
        <v>379</v>
      </c>
      <c r="B23" s="158" t="str">
        <f ca="1">+OFFSET(bd_bonos!$A$1,MATCH(bond_calc!$A23,bd_bonos!$A:$A,0)-1,11)</f>
        <v>12/02/2030</v>
      </c>
      <c r="C23" s="98">
        <f ca="1">+OFFSET(bd_bonos!$A$1,MATCH(bond_calc!$A23,bd_bonos!$A:$A,0)-1,4)/100</f>
        <v>2.8892999999999999E-2</v>
      </c>
      <c r="D23" s="158" t="str">
        <f ca="1">+OFFSET(bd_bonos!$A$1,MATCH(bond_calc!$A23,bd_bonos!$A:$A,0)-1,12)</f>
        <v>PEN</v>
      </c>
      <c r="E23" s="98">
        <f ca="1">+OFFSET(bd_historicas!$A$1,MATCH($A23,bd_historicas!$D:$D,0)+3,MATCH(E$1,bd_historicas!$D$4:$J$4,0)+2)/100</f>
        <v>0</v>
      </c>
      <c r="F23" s="98">
        <f ca="1">+OFFSET(bd_historicas!$A$1,MATCH($A23,bd_historicas!$D:$D,0)+3,MATCH(F$1,bd_historicas!$D$4:$J$4,0)+2)/100</f>
        <v>0</v>
      </c>
      <c r="G23" s="98">
        <f ca="1">+OFFSET(bd_historicas!$A$1,MATCH($A23,bd_historicas!$D:$D,0)+3,MATCH(G$1,bd_historicas!$D$4:$J$4,0)+2)/100</f>
        <v>0</v>
      </c>
      <c r="H23" s="77">
        <f ca="1">+OFFSET(bd_historicas!$A$1,MATCH($A23,bd_historicas!$D:$D,0)+3,MATCH(H$1,bd_historicas!$D$4:$J$4,0)+2)</f>
        <v>0</v>
      </c>
      <c r="I23" s="77">
        <f ca="1">+OFFSET(bd_historicas!$A$1,MATCH($A23,bd_historicas!$D:$D,0)+3,MATCH(I$1,bd_historicas!$D$4:$J$4,0)+2)</f>
        <v>0</v>
      </c>
      <c r="J23" s="77">
        <f ca="1">+OFFSET(bd_historicas!$A$1,MATCH($A23,bd_historicas!$D:$D,0)+3,MATCH(J$1,bd_historicas!$D$4:$J$4,0)+2)</f>
        <v>0</v>
      </c>
      <c r="K23" s="73">
        <f ca="1">+(B23-intercambio!$B$6)/365</f>
        <v>10.213698630136987</v>
      </c>
      <c r="L23" s="99">
        <f ca="1">+IF($D23&lt;&gt;"PEN",((((1+_xll.Interp($K23,$AG$3:$AG$13,$AC$3:$AC$13))^(0.5)-1)*2)*365/360),$G23)</f>
        <v>0</v>
      </c>
      <c r="M23" s="99">
        <f ca="1">+IF($D23&lt;&gt;"PEN",_xll.Interp($K23,icap!$C$2:$C$11,icap!$F$2:$F$11),0)</f>
        <v>0</v>
      </c>
      <c r="N23" s="99">
        <f t="shared" ca="1" si="13"/>
        <v>0</v>
      </c>
      <c r="O23" s="77"/>
      <c r="P23" s="99">
        <f t="shared" ca="1" si="0"/>
        <v>0</v>
      </c>
      <c r="Q23" s="77"/>
      <c r="R23" s="77"/>
      <c r="S23" s="77">
        <f ca="1">+IF($D23="PEN",J23,IF(OR($D23="USD",$D23="EUR"),PRICE(intercambio!$B$6,bond_calc!$B23,bond_calc!$C23,bond_calc!$N23,100,2,0)))</f>
        <v>0</v>
      </c>
      <c r="T23" s="78">
        <f ca="1">+OFFSET(bd_bonos!$A$1,MATCH(bond_calc!$A23,bd_bonos!$A$1:$A$28,0)-1,33)</f>
        <v>86401408.439999998</v>
      </c>
      <c r="U23" s="134">
        <f ca="1">+IF(OFFSET(bd_schd!$C$1,MATCH(bond_calc!A23,bd_schd!$C:$C,0)-1,2)=0,"",OFFSET(bd_schd!$C$1,MATCH(bond_calc!A23,bd_schd!$C:$C,0)-1,2))</f>
        <v>43689</v>
      </c>
      <c r="V23" s="133">
        <f ca="1">+IF(OFFSET(bd_schd!$C$1,MATCH(bond_calc!A23,bd_schd!$C:$C,0)-1,3)=0,"",OFFSET(bd_schd!$C$1,MATCH(bond_calc!A23,bd_schd!$C:$C,0)-1,3))</f>
        <v>43873</v>
      </c>
      <c r="W23" s="76"/>
      <c r="X23" s="76"/>
      <c r="AA23" s="159"/>
      <c r="AB23" s="159"/>
      <c r="AC23" s="159"/>
      <c r="AD23" s="77"/>
      <c r="AE23" s="77"/>
      <c r="AF23" s="77"/>
      <c r="AJ23" s="158"/>
      <c r="AN23" s="98"/>
      <c r="AO23" s="98"/>
      <c r="AP23" s="98"/>
      <c r="AQ23" s="158"/>
      <c r="AR23" s="158"/>
      <c r="AS23" s="158"/>
    </row>
    <row r="24" spans="1:45">
      <c r="A24" s="89" t="s">
        <v>380</v>
      </c>
      <c r="B24" s="158" t="str">
        <f ca="1">+OFFSET(bd_bonos!$A$1,MATCH(bond_calc!$A24,bd_bonos!$A:$A,0)-1,11)</f>
        <v>31/01/2035</v>
      </c>
      <c r="C24" s="98">
        <f ca="1">+OFFSET(bd_bonos!$A$1,MATCH(bond_calc!$A24,bd_bonos!$A:$A,0)-1,4)/100</f>
        <v>7.3899999999999993E-2</v>
      </c>
      <c r="D24" s="158" t="str">
        <f ca="1">+OFFSET(bd_bonos!$A$1,MATCH(bond_calc!$A24,bd_bonos!$A:$A,0)-1,12)</f>
        <v>PEN</v>
      </c>
      <c r="E24" s="98">
        <f ca="1">+OFFSET(bd_historicas!$A$1,MATCH($A24,bd_historicas!$D:$D,0)+3,MATCH(E$1,bd_historicas!$D$4:$J$4,0)+2)/100</f>
        <v>0</v>
      </c>
      <c r="F24" s="98">
        <f ca="1">+OFFSET(bd_historicas!$A$1,MATCH($A24,bd_historicas!$D:$D,0)+3,MATCH(F$1,bd_historicas!$D$4:$J$4,0)+2)/100</f>
        <v>0</v>
      </c>
      <c r="G24" s="98">
        <f ca="1">+OFFSET(bd_historicas!$A$1,MATCH($A24,bd_historicas!$D:$D,0)+3,MATCH(G$1,bd_historicas!$D$4:$J$4,0)+2)/100</f>
        <v>0</v>
      </c>
      <c r="H24" s="77">
        <f ca="1">+OFFSET(bd_historicas!$A$1,MATCH($A24,bd_historicas!$D:$D,0)+3,MATCH(H$1,bd_historicas!$D$4:$J$4,0)+2)</f>
        <v>0</v>
      </c>
      <c r="I24" s="77">
        <f ca="1">+OFFSET(bd_historicas!$A$1,MATCH($A24,bd_historicas!$D:$D,0)+3,MATCH(I$1,bd_historicas!$D$4:$J$4,0)+2)</f>
        <v>0</v>
      </c>
      <c r="J24" s="77">
        <f ca="1">+OFFSET(bd_historicas!$A$1,MATCH($A24,bd_historicas!$D:$D,0)+3,MATCH(J$1,bd_historicas!$D$4:$J$4,0)+2)</f>
        <v>0</v>
      </c>
      <c r="K24" s="73">
        <f ca="1">+(B24-intercambio!$B$6)/365</f>
        <v>15.183561643835617</v>
      </c>
      <c r="L24" s="99">
        <f ca="1">+IF($D24&lt;&gt;"PEN",((((1+_xll.Interp($K24,$AG$3:$AG$13,$AC$3:$AC$13))^(0.5)-1)*2)*365/360),$G24)</f>
        <v>0</v>
      </c>
      <c r="M24" s="99">
        <f ca="1">+IF($D24&lt;&gt;"PEN",_xll.Interp($K24,icap!$C$2:$C$11,icap!$F$2:$F$11),0)</f>
        <v>0</v>
      </c>
      <c r="N24" s="99">
        <f t="shared" ca="1" si="13"/>
        <v>0</v>
      </c>
      <c r="O24" s="77"/>
      <c r="P24" s="99">
        <f t="shared" ca="1" si="0"/>
        <v>0</v>
      </c>
      <c r="Q24" s="77"/>
      <c r="R24" s="77"/>
      <c r="S24" s="77">
        <f ca="1">+IF($D24="PEN",J24,IF(OR($D24="USD",$D24="EUR"),PRICE(intercambio!$B$6,bond_calc!$B24,bond_calc!$C24,bond_calc!$N24,100,2,0)))</f>
        <v>0</v>
      </c>
      <c r="T24" s="78">
        <f ca="1">+OFFSET(bd_bonos!$A$1,MATCH(bond_calc!$A24,bd_bonos!$A$1:$A$28,0)-1,33)</f>
        <v>1353143249.95</v>
      </c>
      <c r="U24" s="134">
        <f ca="1">+IF(OFFSET(bd_schd!$C$1,MATCH(bond_calc!A24,bd_schd!$C:$C,0)-1,2)=0,"",OFFSET(bd_schd!$C$1,MATCH(bond_calc!A24,bd_schd!$C:$C,0)-1,2))</f>
        <v>43677</v>
      </c>
      <c r="V24" s="133">
        <f ca="1">+IF(OFFSET(bd_schd!$C$1,MATCH(bond_calc!A24,bd_schd!$C:$C,0)-1,3)=0,"",OFFSET(bd_schd!$C$1,MATCH(bond_calc!A24,bd_schd!$C:$C,0)-1,3))</f>
        <v>43861</v>
      </c>
      <c r="W24" s="76"/>
      <c r="X24" s="76"/>
      <c r="AA24" s="159"/>
      <c r="AB24" s="159"/>
      <c r="AC24" s="159"/>
      <c r="AD24" s="77"/>
      <c r="AE24" s="77"/>
      <c r="AF24" s="77"/>
      <c r="AJ24" s="158"/>
      <c r="AN24" s="98"/>
      <c r="AO24" s="98"/>
      <c r="AP24" s="98"/>
      <c r="AQ24" s="158"/>
      <c r="AR24" s="158"/>
      <c r="AS24" s="158"/>
    </row>
    <row r="25" spans="1:45">
      <c r="A25" s="89" t="s">
        <v>381</v>
      </c>
      <c r="B25" s="158" t="str">
        <f ca="1">+OFFSET(bd_bonos!$A$1,MATCH(bond_calc!$A25,bd_bonos!$A:$A,0)-1,11)</f>
        <v>12/02/2040</v>
      </c>
      <c r="C25" s="98">
        <f ca="1">+OFFSET(bd_bonos!$A$1,MATCH(bond_calc!$A25,bd_bonos!$A:$A,0)-1,4)/100</f>
        <v>3.1412000000000002E-2</v>
      </c>
      <c r="D25" s="158" t="str">
        <f ca="1">+OFFSET(bd_bonos!$A$1,MATCH(bond_calc!$A25,bd_bonos!$A:$A,0)-1,12)</f>
        <v>PEN</v>
      </c>
      <c r="E25" s="98">
        <f ca="1">+OFFSET(bd_historicas!$A$1,MATCH($A25,bd_historicas!$D:$D,0)+3,MATCH(E$1,bd_historicas!$D$4:$J$4,0)+2)/100</f>
        <v>0</v>
      </c>
      <c r="F25" s="98">
        <f ca="1">+OFFSET(bd_historicas!$A$1,MATCH($A25,bd_historicas!$D:$D,0)+3,MATCH(F$1,bd_historicas!$D$4:$J$4,0)+2)/100</f>
        <v>0</v>
      </c>
      <c r="G25" s="98">
        <f ca="1">+OFFSET(bd_historicas!$A$1,MATCH($A25,bd_historicas!$D:$D,0)+3,MATCH(G$1,bd_historicas!$D$4:$J$4,0)+2)/100</f>
        <v>0</v>
      </c>
      <c r="H25" s="77">
        <f ca="1">+OFFSET(bd_historicas!$A$1,MATCH($A25,bd_historicas!$D:$D,0)+3,MATCH(H$1,bd_historicas!$D$4:$J$4,0)+2)</f>
        <v>0</v>
      </c>
      <c r="I25" s="77">
        <f ca="1">+OFFSET(bd_historicas!$A$1,MATCH($A25,bd_historicas!$D:$D,0)+3,MATCH(I$1,bd_historicas!$D$4:$J$4,0)+2)</f>
        <v>0</v>
      </c>
      <c r="J25" s="77">
        <f ca="1">+OFFSET(bd_historicas!$A$1,MATCH($A25,bd_historicas!$D:$D,0)+3,MATCH(J$1,bd_historicas!$D$4:$J$4,0)+2)</f>
        <v>0</v>
      </c>
      <c r="K25" s="73">
        <f ca="1">+(B25-intercambio!$B$6)/365</f>
        <v>20.219178082191782</v>
      </c>
      <c r="L25" s="99">
        <f ca="1">+IF($D25&lt;&gt;"PEN",((((1+_xll.Interp($K25,$AG$3:$AG$13,$AC$3:$AC$13))^(0.5)-1)*2)*365/360),$G25)</f>
        <v>0</v>
      </c>
      <c r="M25" s="99">
        <f ca="1">+IF($D25&lt;&gt;"PEN",_xll.Interp($K25,icap!$C$2:$C$11,icap!$F$2:$F$11),0)</f>
        <v>0</v>
      </c>
      <c r="N25" s="99">
        <f t="shared" ca="1" si="13"/>
        <v>0</v>
      </c>
      <c r="O25" s="77"/>
      <c r="P25" s="99">
        <f t="shared" ca="1" si="0"/>
        <v>0</v>
      </c>
      <c r="Q25" s="77"/>
      <c r="R25" s="77"/>
      <c r="S25" s="77">
        <f ca="1">+IF($D25="PEN",J25,IF(OR($D25="USD",$D25="EUR"),PRICE(intercambio!$B$6,bond_calc!$B25,bond_calc!$C25,bond_calc!$N25,100,2,0)))</f>
        <v>0</v>
      </c>
      <c r="T25" s="78">
        <f ca="1">+OFFSET(bd_bonos!$A$1,MATCH(bond_calc!$A25,bd_bonos!$A$1:$A$28,0)-1,33)</f>
        <v>256754569.16999999</v>
      </c>
      <c r="U25" s="134">
        <f ca="1">+IF(OFFSET(bd_schd!$C$1,MATCH(bond_calc!A25,bd_schd!$C:$C,0)-1,2)=0,"",OFFSET(bd_schd!$C$1,MATCH(bond_calc!A25,bd_schd!$C:$C,0)-1,2))</f>
        <v>43689</v>
      </c>
      <c r="V25" s="133">
        <f ca="1">+IF(OFFSET(bd_schd!$C$1,MATCH(bond_calc!A25,bd_schd!$C:$C,0)-1,3)=0,"",OFFSET(bd_schd!$C$1,MATCH(bond_calc!A25,bd_schd!$C:$C,0)-1,3))</f>
        <v>43873</v>
      </c>
      <c r="W25" s="76"/>
      <c r="X25" s="76"/>
      <c r="AA25" s="159"/>
      <c r="AB25" s="159"/>
      <c r="AC25" s="159"/>
      <c r="AD25" s="77"/>
      <c r="AE25" s="77"/>
      <c r="AF25" s="77"/>
      <c r="AJ25" s="158"/>
      <c r="AN25" s="98"/>
      <c r="AO25" s="98"/>
      <c r="AP25" s="98"/>
      <c r="AQ25" s="158"/>
      <c r="AR25" s="158"/>
      <c r="AS25" s="158"/>
    </row>
    <row r="26" spans="1:45">
      <c r="A26" s="89" t="s">
        <v>382</v>
      </c>
      <c r="B26" s="158" t="str">
        <f ca="1">+OFFSET(bd_bonos!$A$1,MATCH(bond_calc!$A26,bd_bonos!$A:$A,0)-1,11)</f>
        <v>12/08/2046</v>
      </c>
      <c r="C26" s="98">
        <f ca="1">+OFFSET(bd_bonos!$A$1,MATCH(bond_calc!$A26,bd_bonos!$A:$A,0)-1,4)/100</f>
        <v>3.8300000000000001E-2</v>
      </c>
      <c r="D26" s="158" t="str">
        <f ca="1">+OFFSET(bd_bonos!$A$1,MATCH(bond_calc!$A26,bd_bonos!$A:$A,0)-1,12)</f>
        <v>PEN</v>
      </c>
      <c r="E26" s="98">
        <f ca="1">+OFFSET(bd_historicas!$A$1,MATCH($A26,bd_historicas!$D:$D,0)+3,MATCH(E$1,bd_historicas!$D$4:$J$4,0)+2)/100</f>
        <v>0</v>
      </c>
      <c r="F26" s="98">
        <f ca="1">+OFFSET(bd_historicas!$A$1,MATCH($A26,bd_historicas!$D:$D,0)+3,MATCH(F$1,bd_historicas!$D$4:$J$4,0)+2)/100</f>
        <v>0</v>
      </c>
      <c r="G26" s="98">
        <f ca="1">+OFFSET(bd_historicas!$A$1,MATCH($A26,bd_historicas!$D:$D,0)+3,MATCH(G$1,bd_historicas!$D$4:$J$4,0)+2)/100</f>
        <v>0</v>
      </c>
      <c r="H26" s="77">
        <f ca="1">+OFFSET(bd_historicas!$A$1,MATCH($A26,bd_historicas!$D:$D,0)+3,MATCH(H$1,bd_historicas!$D$4:$J$4,0)+2)</f>
        <v>0</v>
      </c>
      <c r="I26" s="77">
        <f ca="1">+OFFSET(bd_historicas!$A$1,MATCH($A26,bd_historicas!$D:$D,0)+3,MATCH(I$1,bd_historicas!$D$4:$J$4,0)+2)</f>
        <v>0</v>
      </c>
      <c r="J26" s="77">
        <f ca="1">+OFFSET(bd_historicas!$A$1,MATCH($A26,bd_historicas!$D:$D,0)+3,MATCH(J$1,bd_historicas!$D$4:$J$4,0)+2)</f>
        <v>0</v>
      </c>
      <c r="K26" s="73">
        <f ca="1">+(B26-intercambio!$B$6)/365</f>
        <v>26.720547945205478</v>
      </c>
      <c r="L26" s="99">
        <f ca="1">+IF($D26&lt;&gt;"PEN",((((1+_xll.Interp($K26,$AG$3:$AG$13,$AC$3:$AC$13))^(0.5)-1)*2)*365/360),$G26)</f>
        <v>0</v>
      </c>
      <c r="M26" s="99">
        <f ca="1">+IF($D26&lt;&gt;"PEN",_xll.Interp($K26,icap!$C$2:$C$11,icap!$F$2:$F$11),0)</f>
        <v>0</v>
      </c>
      <c r="N26" s="99">
        <f t="shared" ca="1" si="13"/>
        <v>0</v>
      </c>
      <c r="O26" s="77"/>
      <c r="P26" s="99">
        <f t="shared" ca="1" si="0"/>
        <v>0</v>
      </c>
      <c r="Q26" s="77"/>
      <c r="R26" s="77"/>
      <c r="S26" s="77">
        <f ca="1">+IF($D26="PEN",J26,IF(OR($D26="USD",$D26="EUR"),PRICE(intercambio!$B$6,bond_calc!$B26,bond_calc!$C26,bond_calc!$N26,100,2,0)))</f>
        <v>0</v>
      </c>
      <c r="T26" s="78">
        <f ca="1">+OFFSET(bd_bonos!$A$1,MATCH(bond_calc!$A26,bd_bonos!$A$1:$A$28,0)-1,33)</f>
        <v>611978045.75999999</v>
      </c>
      <c r="U26" s="134">
        <f ca="1">+IF(OFFSET(bd_schd!$C$1,MATCH(bond_calc!A26,bd_schd!$C:$C,0)-1,2)=0,"",OFFSET(bd_schd!$C$1,MATCH(bond_calc!A26,bd_schd!$C:$C,0)-1,2))</f>
        <v>43689</v>
      </c>
      <c r="V26" s="133">
        <f ca="1">+IF(OFFSET(bd_schd!$C$1,MATCH(bond_calc!A26,bd_schd!$C:$C,0)-1,3)=0,"",OFFSET(bd_schd!$C$1,MATCH(bond_calc!A26,bd_schd!$C:$C,0)-1,3))</f>
        <v>43873</v>
      </c>
      <c r="W26" s="76"/>
      <c r="X26" s="76"/>
      <c r="AJ26" s="158"/>
      <c r="AN26" s="98"/>
      <c r="AO26" s="98"/>
      <c r="AP26" s="98"/>
      <c r="AQ26" s="158"/>
      <c r="AR26" s="158"/>
      <c r="AS26" s="158"/>
    </row>
    <row r="27" spans="1:45">
      <c r="A27" s="89" t="s">
        <v>383</v>
      </c>
      <c r="B27" s="158" t="str">
        <f ca="1">+OFFSET(bd_bonos!$A$1,MATCH(bond_calc!$A27,bd_bonos!$A:$A,0)-1,11)</f>
        <v>12/02/2054</v>
      </c>
      <c r="C27" s="98">
        <f ca="1">+OFFSET(bd_bonos!$A$1,MATCH(bond_calc!$A27,bd_bonos!$A:$A,0)-1,4)/100</f>
        <v>3.2669000000000004E-2</v>
      </c>
      <c r="D27" s="158" t="str">
        <f ca="1">+OFFSET(bd_bonos!$A$1,MATCH(bond_calc!$A27,bd_bonos!$A:$A,0)-1,12)</f>
        <v>PEN</v>
      </c>
      <c r="E27" s="98">
        <f ca="1">+OFFSET(bd_historicas!$A$1,MATCH($A27,bd_historicas!$D:$D,0)+3,MATCH(E$1,bd_historicas!$D$4:$J$4,0)+2)/100</f>
        <v>0</v>
      </c>
      <c r="F27" s="98">
        <f ca="1">+OFFSET(bd_historicas!$A$1,MATCH($A27,bd_historicas!$D:$D,0)+3,MATCH(F$1,bd_historicas!$D$4:$J$4,0)+2)/100</f>
        <v>0</v>
      </c>
      <c r="G27" s="98">
        <f ca="1">+OFFSET(bd_historicas!$A$1,MATCH($A27,bd_historicas!$D:$D,0)+3,MATCH(G$1,bd_historicas!$D$4:$J$4,0)+2)/100</f>
        <v>0</v>
      </c>
      <c r="H27" s="77">
        <f ca="1">+OFFSET(bd_historicas!$A$1,MATCH($A27,bd_historicas!$D:$D,0)+3,MATCH(H$1,bd_historicas!$D$4:$J$4,0)+2)</f>
        <v>0</v>
      </c>
      <c r="I27" s="77">
        <f ca="1">+OFFSET(bd_historicas!$A$1,MATCH($A27,bd_historicas!$D:$D,0)+3,MATCH(I$1,bd_historicas!$D$4:$J$4,0)+2)</f>
        <v>0</v>
      </c>
      <c r="J27" s="77">
        <f ca="1">+OFFSET(bd_historicas!$A$1,MATCH($A27,bd_historicas!$D:$D,0)+3,MATCH(J$1,bd_historicas!$D$4:$J$4,0)+2)</f>
        <v>0</v>
      </c>
      <c r="K27" s="73">
        <f ca="1">+(B27-intercambio!$B$6)/365</f>
        <v>34.230136986301368</v>
      </c>
      <c r="L27" s="99">
        <f ca="1">+IF($D27&lt;&gt;"PEN",((((1+_xll.Interp($K27,$AG$3:$AG$13,$AC$3:$AC$13))^(0.5)-1)*2)*365/360),$G27)</f>
        <v>0</v>
      </c>
      <c r="M27" s="99">
        <f ca="1">+IF($D27&lt;&gt;"PEN",_xll.Interp($K27,icap!$C$2:$C$11,icap!$F$2:$F$11),0)</f>
        <v>0</v>
      </c>
      <c r="N27" s="99">
        <f t="shared" ca="1" si="13"/>
        <v>0</v>
      </c>
      <c r="O27" s="77"/>
      <c r="P27" s="99">
        <f t="shared" ca="1" si="0"/>
        <v>0</v>
      </c>
      <c r="Q27" s="77"/>
      <c r="R27" s="77"/>
      <c r="S27" s="77">
        <f ca="1">+IF($D27="PEN",J27,IF(OR($D27="USD",$D27="EUR"),PRICE(intercambio!$B$6,bond_calc!$B27,bond_calc!$C27,bond_calc!$N27,100,2,0)))</f>
        <v>0</v>
      </c>
      <c r="T27" s="78">
        <f ca="1">+OFFSET(bd_bonos!$A$1,MATCH(bond_calc!$A27,bd_bonos!$A$1:$A$28,0)-1,33)</f>
        <v>432427860.39999998</v>
      </c>
      <c r="U27" s="134">
        <f ca="1">+IF(OFFSET(bd_schd!$C$1,MATCH(bond_calc!A27,bd_schd!$C:$C,0)-1,2)=0,"",OFFSET(bd_schd!$C$1,MATCH(bond_calc!A27,bd_schd!$C:$C,0)-1,2))</f>
        <v>43689</v>
      </c>
      <c r="V27" s="133">
        <f ca="1">+IF(OFFSET(bd_schd!$C$1,MATCH(bond_calc!A27,bd_schd!$C:$C,0)-1,3)=0,"",OFFSET(bd_schd!$C$1,MATCH(bond_calc!A27,bd_schd!$C:$C,0)-1,3))</f>
        <v>43873</v>
      </c>
      <c r="W27" s="76"/>
      <c r="X27" s="76"/>
      <c r="AJ27" s="158"/>
      <c r="AN27" s="98"/>
      <c r="AO27" s="98"/>
      <c r="AP27" s="98"/>
      <c r="AQ27" s="158"/>
      <c r="AR27" s="158"/>
      <c r="AS27" s="158"/>
    </row>
    <row r="28" spans="1:45">
      <c r="A28" s="89" t="s">
        <v>650</v>
      </c>
      <c r="B28" s="278">
        <v>47654</v>
      </c>
      <c r="C28" s="284">
        <v>2.844E-2</v>
      </c>
      <c r="D28" s="76" t="s">
        <v>223</v>
      </c>
      <c r="E28" s="284">
        <v>2.844E-2</v>
      </c>
      <c r="F28" s="284">
        <v>2.844E-2</v>
      </c>
      <c r="G28" s="284">
        <v>2.844E-2</v>
      </c>
      <c r="H28" s="76">
        <v>100</v>
      </c>
      <c r="I28" s="76">
        <v>100</v>
      </c>
      <c r="J28" s="76">
        <v>100</v>
      </c>
      <c r="K28" s="73">
        <f>+(B28-intercambio!$B$6)/365</f>
        <v>10.564383561643835</v>
      </c>
    </row>
  </sheetData>
  <mergeCells count="2">
    <mergeCell ref="AJ1:AU1"/>
    <mergeCell ref="W1:AH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3"/>
  <dimension ref="A1:AN29"/>
  <sheetViews>
    <sheetView topLeftCell="A2" workbookViewId="0">
      <pane xSplit="1" ySplit="1" topLeftCell="B3" activePane="bottomRight" state="frozen"/>
      <selection activeCell="A9" sqref="A9"/>
      <selection pane="topRight" activeCell="A9" sqref="A9"/>
      <selection pane="bottomLeft" activeCell="A9" sqref="A9"/>
      <selection pane="bottomRight" activeCell="A9" sqref="A9"/>
    </sheetView>
  </sheetViews>
  <sheetFormatPr defaultColWidth="11.4609375" defaultRowHeight="14.6"/>
  <cols>
    <col min="1" max="1" width="24.4609375" style="12" bestFit="1" customWidth="1"/>
    <col min="2" max="2" width="14.4609375" style="12" bestFit="1" customWidth="1"/>
    <col min="3" max="3" width="11.84375" style="12" bestFit="1" customWidth="1"/>
    <col min="4" max="4" width="22.4609375" style="12" bestFit="1" customWidth="1"/>
    <col min="5" max="5" width="6.61328125" style="12" bestFit="1" customWidth="1"/>
    <col min="6" max="6" width="18.3828125" style="12" bestFit="1" customWidth="1"/>
    <col min="7" max="7" width="17.15234375" style="12" bestFit="1" customWidth="1"/>
    <col min="8" max="8" width="10.4609375" style="12" bestFit="1" customWidth="1"/>
    <col min="9" max="9" width="24.3828125" style="12" bestFit="1" customWidth="1"/>
    <col min="10" max="10" width="11.4609375" style="12" bestFit="1" customWidth="1"/>
    <col min="11" max="11" width="15.84375" style="12" bestFit="1" customWidth="1"/>
    <col min="12" max="12" width="12.4609375" style="12" bestFit="1" customWidth="1"/>
    <col min="13" max="13" width="8.3828125" style="12" bestFit="1" customWidth="1"/>
    <col min="14" max="14" width="10.61328125" style="12" bestFit="1" customWidth="1"/>
    <col min="15" max="15" width="11.3828125" style="12" bestFit="1" customWidth="1"/>
    <col min="16" max="16" width="17.4609375" style="12" bestFit="1" customWidth="1"/>
    <col min="17" max="17" width="11.3828125" style="12" bestFit="1" customWidth="1"/>
    <col min="18" max="18" width="17.4609375" style="12" bestFit="1" customWidth="1"/>
    <col min="19" max="19" width="14.3828125" style="12" bestFit="1" customWidth="1"/>
    <col min="20" max="20" width="20.4609375" style="12" bestFit="1" customWidth="1"/>
    <col min="21" max="21" width="11.84375" style="12" bestFit="1" customWidth="1"/>
    <col min="22" max="22" width="18" style="12" bestFit="1" customWidth="1"/>
    <col min="23" max="23" width="24.3828125" style="12" bestFit="1" customWidth="1"/>
    <col min="24" max="24" width="17.84375" style="12" bestFit="1" customWidth="1"/>
    <col min="25" max="26" width="12.15234375" style="12" bestFit="1" customWidth="1"/>
    <col min="27" max="27" width="13.3828125" style="12" bestFit="1" customWidth="1"/>
    <col min="28" max="29" width="14.4609375" style="12" bestFit="1" customWidth="1"/>
    <col min="30" max="30" width="15.4609375" style="12" bestFit="1" customWidth="1"/>
    <col min="31" max="32" width="16.3828125" style="12" bestFit="1" customWidth="1"/>
    <col min="33" max="33" width="14.4609375" style="12" bestFit="1" customWidth="1"/>
    <col min="34" max="34" width="14.4609375" style="11" bestFit="1" customWidth="1"/>
    <col min="35" max="35" width="17" style="11" bestFit="1" customWidth="1"/>
    <col min="36" max="36" width="12.61328125" style="11" bestFit="1" customWidth="1"/>
    <col min="37" max="37" width="15.84375" style="11" bestFit="1" customWidth="1"/>
    <col min="38" max="38" width="12" style="11" bestFit="1" customWidth="1"/>
    <col min="39" max="39" width="28.3828125" style="11" bestFit="1" customWidth="1"/>
    <col min="40" max="40" width="14.4609375" style="20" bestFit="1" customWidth="1"/>
    <col min="41" max="16384" width="11.4609375" style="11"/>
  </cols>
  <sheetData>
    <row r="1" spans="1:40" hidden="1">
      <c r="B1" s="12" t="s">
        <v>106</v>
      </c>
      <c r="D1" s="12" t="s">
        <v>319</v>
      </c>
      <c r="E1" s="12" t="s">
        <v>318</v>
      </c>
      <c r="F1" s="12" t="s">
        <v>320</v>
      </c>
      <c r="G1" s="12" t="s">
        <v>321</v>
      </c>
      <c r="H1" s="12" t="s">
        <v>322</v>
      </c>
      <c r="J1" s="12" t="s">
        <v>323</v>
      </c>
      <c r="L1" s="12" t="s">
        <v>324</v>
      </c>
      <c r="M1" s="12" t="s">
        <v>325</v>
      </c>
      <c r="N1" s="12" t="s">
        <v>326</v>
      </c>
      <c r="O1" s="12" t="s">
        <v>327</v>
      </c>
      <c r="P1" s="12" t="s">
        <v>330</v>
      </c>
      <c r="Q1" s="12" t="s">
        <v>328</v>
      </c>
      <c r="R1" s="12" t="s">
        <v>331</v>
      </c>
      <c r="S1" s="12" t="s">
        <v>96</v>
      </c>
      <c r="T1" s="12" t="s">
        <v>332</v>
      </c>
      <c r="U1" s="12" t="s">
        <v>329</v>
      </c>
      <c r="V1" s="12" t="s">
        <v>333</v>
      </c>
      <c r="W1" s="12" t="s">
        <v>334</v>
      </c>
      <c r="X1" s="12" t="s">
        <v>335</v>
      </c>
      <c r="Y1" s="12" t="s">
        <v>336</v>
      </c>
      <c r="Z1" s="12" t="s">
        <v>337</v>
      </c>
      <c r="AA1" s="12" t="s">
        <v>338</v>
      </c>
      <c r="AB1" s="12" t="s">
        <v>339</v>
      </c>
      <c r="AC1" s="12" t="s">
        <v>340</v>
      </c>
      <c r="AD1" s="12" t="s">
        <v>341</v>
      </c>
      <c r="AE1" s="12" t="s">
        <v>342</v>
      </c>
      <c r="AF1" s="12" t="s">
        <v>343</v>
      </c>
      <c r="AG1" s="12" t="s">
        <v>344</v>
      </c>
      <c r="AH1" s="12" t="s">
        <v>345</v>
      </c>
      <c r="AI1" s="12" t="s">
        <v>346</v>
      </c>
      <c r="AJ1" s="12" t="s">
        <v>347</v>
      </c>
      <c r="AK1" s="12" t="s">
        <v>348</v>
      </c>
      <c r="AL1" s="12" t="s">
        <v>349</v>
      </c>
      <c r="AM1" s="12" t="s">
        <v>350</v>
      </c>
      <c r="AN1" s="12" t="s">
        <v>351</v>
      </c>
    </row>
    <row r="2" spans="1:40" s="13" customFormat="1">
      <c r="A2" s="13" t="s">
        <v>154</v>
      </c>
      <c r="B2" s="13" t="s">
        <v>106</v>
      </c>
      <c r="C2" s="13" t="s">
        <v>153</v>
      </c>
      <c r="D2" s="13" t="s">
        <v>65</v>
      </c>
      <c r="E2" s="13" t="s">
        <v>108</v>
      </c>
      <c r="F2" s="12" t="s">
        <v>67</v>
      </c>
      <c r="G2" s="13" t="s">
        <v>155</v>
      </c>
      <c r="H2" s="13" t="s">
        <v>112</v>
      </c>
      <c r="I2" s="13" t="s">
        <v>156</v>
      </c>
      <c r="J2" s="13" t="s">
        <v>113</v>
      </c>
      <c r="K2" s="13" t="s">
        <v>157</v>
      </c>
      <c r="L2" s="13" t="s">
        <v>107</v>
      </c>
      <c r="M2" s="13" t="s">
        <v>109</v>
      </c>
      <c r="N2" s="13" t="s">
        <v>158</v>
      </c>
      <c r="O2" s="13" t="s">
        <v>159</v>
      </c>
      <c r="P2" s="13" t="s">
        <v>160</v>
      </c>
      <c r="Q2" s="13" t="s">
        <v>161</v>
      </c>
      <c r="R2" s="13" t="s">
        <v>162</v>
      </c>
      <c r="S2" s="11" t="s">
        <v>163</v>
      </c>
      <c r="T2" s="12" t="s">
        <v>164</v>
      </c>
      <c r="U2" s="13" t="s">
        <v>165</v>
      </c>
      <c r="V2" s="13" t="s">
        <v>166</v>
      </c>
      <c r="W2" s="13" t="s">
        <v>167</v>
      </c>
      <c r="X2" s="13" t="s">
        <v>168</v>
      </c>
      <c r="Y2" s="14" t="s">
        <v>169</v>
      </c>
      <c r="Z2" s="14" t="s">
        <v>170</v>
      </c>
      <c r="AA2" s="14" t="s">
        <v>171</v>
      </c>
      <c r="AB2" s="14" t="s">
        <v>172</v>
      </c>
      <c r="AC2" s="14" t="s">
        <v>173</v>
      </c>
      <c r="AD2" s="14" t="s">
        <v>174</v>
      </c>
      <c r="AE2" s="11" t="s">
        <v>175</v>
      </c>
      <c r="AF2" s="11" t="s">
        <v>176</v>
      </c>
      <c r="AG2" s="13" t="s">
        <v>110</v>
      </c>
      <c r="AH2" s="13" t="s">
        <v>177</v>
      </c>
      <c r="AI2" s="13" t="s">
        <v>178</v>
      </c>
      <c r="AJ2" s="15" t="s">
        <v>179</v>
      </c>
      <c r="AK2" s="15" t="s">
        <v>180</v>
      </c>
      <c r="AL2" s="15" t="s">
        <v>181</v>
      </c>
      <c r="AM2" s="11" t="s">
        <v>182</v>
      </c>
      <c r="AN2" s="16" t="s">
        <v>183</v>
      </c>
    </row>
    <row r="3" spans="1:40">
      <c r="A3" s="12" t="s">
        <v>116</v>
      </c>
      <c r="B3" s="12" t="s">
        <v>128</v>
      </c>
      <c r="C3" s="12" t="e">
        <f ca="1">+IF(F3="DOMESTIC",CONCATENATE("BS",RIGHT(L3,4)),IF(OR(F3="GLOBAL",F3="EURO NON-DOLLAR"),CONCATENATE("BG",RIGHT(L3,4))))</f>
        <v>#NAME?</v>
      </c>
      <c r="D3" s="12" t="e">
        <f ca="1">+_xll.BDP($B3&amp;" Govt",D$1)</f>
        <v>#NAME?</v>
      </c>
      <c r="E3" s="17" t="e">
        <f ca="1">+_xll.BDP($B3&amp;" Govt",E$1)</f>
        <v>#NAME?</v>
      </c>
      <c r="F3" s="17" t="e">
        <f ca="1">+_xll.BDP($B3&amp;" Govt",F$1)</f>
        <v>#NAME?</v>
      </c>
      <c r="G3" s="17" t="e">
        <f ca="1">+_xll.BDP($B3&amp;" Govt",G$1)</f>
        <v>#NAME?</v>
      </c>
      <c r="H3" s="17" t="e">
        <f ca="1">+_xll.BDP($B3&amp;" Govt",H$1)</f>
        <v>#NAME?</v>
      </c>
      <c r="I3" s="17" t="s">
        <v>187</v>
      </c>
      <c r="J3" s="17" t="e">
        <f ca="1">+_xll.BDP($B3&amp;" Govt",J$1)</f>
        <v>#NAME?</v>
      </c>
      <c r="K3" s="18">
        <v>0</v>
      </c>
      <c r="L3" s="17" t="e">
        <f ca="1">+_xll.BDP($B3&amp;" Govt",L$1)</f>
        <v>#NAME?</v>
      </c>
      <c r="M3" s="17" t="e">
        <f ca="1">+_xll.BDP($B3&amp;" Govt",M$1)</f>
        <v>#NAME?</v>
      </c>
      <c r="N3" s="17" t="e">
        <f ca="1">+_xll.BDP($B3&amp;" Govt",N$1)</f>
        <v>#NAME?</v>
      </c>
      <c r="O3" s="17" t="e">
        <f ca="1">+_xll.BDP($B3&amp;" Govt",O$1)</f>
        <v>#NAME?</v>
      </c>
      <c r="P3" s="17" t="e">
        <f ca="1">+_xll.BDP($B3&amp;" Govt",P$1)</f>
        <v>#NAME?</v>
      </c>
      <c r="Q3" s="17" t="e">
        <f ca="1">+_xll.BDP($B3&amp;" Govt",Q$1)</f>
        <v>#NAME?</v>
      </c>
      <c r="R3" s="17" t="e">
        <f ca="1">+_xll.BDP($B3&amp;" Govt",R$1)</f>
        <v>#NAME?</v>
      </c>
      <c r="S3" s="17" t="e">
        <f ca="1">+_xll.BDP($B3&amp;" Govt",S$1)</f>
        <v>#NAME?</v>
      </c>
      <c r="T3" s="17" t="e">
        <f ca="1">+_xll.BDP($B3&amp;" Govt",T$1)</f>
        <v>#NAME?</v>
      </c>
      <c r="U3" s="17" t="e">
        <f ca="1">+_xll.BDP($B3&amp;" Govt",U$1)</f>
        <v>#NAME?</v>
      </c>
      <c r="V3" s="17" t="e">
        <f ca="1">+_xll.BDP($B3&amp;" Govt",V$1)</f>
        <v>#NAME?</v>
      </c>
      <c r="W3" s="17" t="e">
        <f ca="1">+_xll.BDP($B3&amp;" Govt",W$1)</f>
        <v>#NAME?</v>
      </c>
      <c r="X3" s="17" t="e">
        <f ca="1">+_xll.BDP($B3&amp;" Govt",X$1)</f>
        <v>#NAME?</v>
      </c>
      <c r="Y3" s="17" t="e">
        <f ca="1">+_xll.BDP($B3&amp;" Govt",Y$1)</f>
        <v>#NAME?</v>
      </c>
      <c r="Z3" s="17" t="e">
        <f ca="1">+_xll.BDP($B3&amp;" Govt",Z$1)</f>
        <v>#NAME?</v>
      </c>
      <c r="AA3" s="17" t="e">
        <f ca="1">+_xll.BDP($B3&amp;" Govt",AA$1)</f>
        <v>#NAME?</v>
      </c>
      <c r="AB3" s="17" t="e">
        <f ca="1">+_xll.BDP($B3&amp;" Govt",AB$1)</f>
        <v>#NAME?</v>
      </c>
      <c r="AC3" s="17" t="e">
        <f ca="1">+_xll.BDP($B3&amp;" Govt",AC$1)</f>
        <v>#NAME?</v>
      </c>
      <c r="AD3" s="17" t="e">
        <f ca="1">+_xll.BDP($B3&amp;" Govt",AD$1)</f>
        <v>#NAME?</v>
      </c>
      <c r="AE3" s="17" t="e">
        <f ca="1">+_xll.BDP($B3&amp;" Govt",AE$1)</f>
        <v>#NAME?</v>
      </c>
      <c r="AF3" s="17" t="e">
        <f ca="1">+_xll.BDP($B3&amp;" Govt",AF$1)</f>
        <v>#NAME?</v>
      </c>
      <c r="AG3" s="70" t="e">
        <f ca="1">+_xll.BDP($B3&amp;" Govt",AG$1)</f>
        <v>#NAME?</v>
      </c>
      <c r="AH3" s="70" t="e">
        <f ca="1">+_xll.BDP($B3&amp;" Govt",AH$1)</f>
        <v>#NAME?</v>
      </c>
      <c r="AI3" s="17" t="e">
        <f ca="1">+_xll.BDP($B3&amp;" Govt",AI$1)</f>
        <v>#NAME?</v>
      </c>
      <c r="AJ3" s="17" t="e">
        <f ca="1">+_xll.BDP($B3&amp;" Govt",AJ$1)</f>
        <v>#NAME?</v>
      </c>
      <c r="AK3" s="17" t="e">
        <f ca="1">+_xll.BDP($B3&amp;" Govt",AK$1)</f>
        <v>#NAME?</v>
      </c>
      <c r="AL3" s="17" t="e">
        <f ca="1">+_xll.BDP($B3&amp;" Govt",AL$1)</f>
        <v>#NAME?</v>
      </c>
      <c r="AM3" s="17" t="e">
        <f ca="1">+_xll.BDP($B3&amp;" Govt",AM$1)</f>
        <v>#NAME?</v>
      </c>
      <c r="AN3" s="17" t="e">
        <f ca="1">+_xll.BDP($B3&amp;" Govt",AN$1)</f>
        <v>#NAME?</v>
      </c>
    </row>
    <row r="4" spans="1:40">
      <c r="A4" s="12" t="s">
        <v>117</v>
      </c>
      <c r="B4" s="12" t="s">
        <v>129</v>
      </c>
      <c r="C4" s="12" t="e">
        <f t="shared" ref="C4:C28" ca="1" si="0">+IF(F4="DOMESTIC",CONCATENATE("BS",RIGHT(L4,4)),IF(OR(F4="GLOBAL",F4="EURO NON-DOLLAR"),CONCATENATE("BG",RIGHT(L4,4))))</f>
        <v>#NAME?</v>
      </c>
      <c r="D4" s="12" t="e">
        <f ca="1">+_xll.BDP($B4&amp;" Govt",D$1)</f>
        <v>#NAME?</v>
      </c>
      <c r="E4" s="17" t="e">
        <f ca="1">+_xll.BDP($B4&amp;" Govt",E$1)</f>
        <v>#NAME?</v>
      </c>
      <c r="F4" s="17" t="s">
        <v>185</v>
      </c>
      <c r="G4" s="17" t="e">
        <f ca="1">+_xll.BDP($B4&amp;" Govt",G$1)</f>
        <v>#NAME?</v>
      </c>
      <c r="H4" s="17" t="e">
        <f ca="1">+_xll.BDP($B4&amp;" Govt",H$1)</f>
        <v>#NAME?</v>
      </c>
      <c r="I4" s="17" t="s">
        <v>187</v>
      </c>
      <c r="J4" s="17" t="e">
        <f ca="1">+_xll.BDP($B4&amp;" Govt",J$1)</f>
        <v>#NAME?</v>
      </c>
      <c r="K4" s="18">
        <v>0</v>
      </c>
      <c r="L4" s="17" t="e">
        <f ca="1">+_xll.BDP($B4&amp;" Govt",L$1)</f>
        <v>#NAME?</v>
      </c>
      <c r="M4" s="17" t="e">
        <f ca="1">+_xll.BDP($B4&amp;" Govt",M$1)</f>
        <v>#NAME?</v>
      </c>
      <c r="N4" s="17" t="e">
        <f ca="1">+_xll.BDP($B4&amp;" Govt",N$1)</f>
        <v>#NAME?</v>
      </c>
      <c r="O4" s="17" t="e">
        <f ca="1">+_xll.BDP($B4&amp;" Govt",O$1)</f>
        <v>#NAME?</v>
      </c>
      <c r="P4" s="17" t="e">
        <f ca="1">+_xll.BDP($B4&amp;" Govt",P$1)</f>
        <v>#NAME?</v>
      </c>
      <c r="Q4" s="17" t="e">
        <f ca="1">+_xll.BDP($B4&amp;" Govt",Q$1)</f>
        <v>#NAME?</v>
      </c>
      <c r="R4" s="17" t="e">
        <f ca="1">+_xll.BDP($B4&amp;" Govt",R$1)</f>
        <v>#NAME?</v>
      </c>
      <c r="S4" s="17" t="e">
        <f ca="1">+_xll.BDP($B4&amp;" Govt",S$1)</f>
        <v>#NAME?</v>
      </c>
      <c r="T4" s="17" t="e">
        <f ca="1">+_xll.BDP($B4&amp;" Govt",T$1)</f>
        <v>#NAME?</v>
      </c>
      <c r="U4" s="17" t="e">
        <f ca="1">+_xll.BDP($B4&amp;" Govt",U$1)</f>
        <v>#NAME?</v>
      </c>
      <c r="V4" s="17" t="e">
        <f ca="1">+_xll.BDP($B4&amp;" Govt",V$1)</f>
        <v>#NAME?</v>
      </c>
      <c r="W4" s="17" t="e">
        <f ca="1">+_xll.BDP($B4&amp;" Govt",W$1)</f>
        <v>#NAME?</v>
      </c>
      <c r="X4" s="17" t="e">
        <f ca="1">+_xll.BDP($B4&amp;" Govt",X$1)</f>
        <v>#NAME?</v>
      </c>
      <c r="Y4" s="17" t="e">
        <f ca="1">+_xll.BDP($B4&amp;" Govt",Y$1)</f>
        <v>#NAME?</v>
      </c>
      <c r="Z4" s="17" t="e">
        <f ca="1">+_xll.BDP($B4&amp;" Govt",Z$1)</f>
        <v>#NAME?</v>
      </c>
      <c r="AA4" s="17" t="e">
        <f ca="1">+_xll.BDP($B4&amp;" Govt",AA$1)</f>
        <v>#NAME?</v>
      </c>
      <c r="AB4" s="17" t="e">
        <f ca="1">+_xll.BDP($B4&amp;" Govt",AB$1)</f>
        <v>#NAME?</v>
      </c>
      <c r="AC4" s="17" t="e">
        <f ca="1">+_xll.BDP($B4&amp;" Govt",AC$1)</f>
        <v>#NAME?</v>
      </c>
      <c r="AD4" s="17" t="e">
        <f ca="1">+_xll.BDP($B4&amp;" Govt",AD$1)</f>
        <v>#NAME?</v>
      </c>
      <c r="AE4" s="17" t="e">
        <f ca="1">+_xll.BDP($B4&amp;" Govt",AE$1)</f>
        <v>#NAME?</v>
      </c>
      <c r="AF4" s="17" t="e">
        <f ca="1">+_xll.BDP($B4&amp;" Govt",AF$1)</f>
        <v>#NAME?</v>
      </c>
      <c r="AG4" s="70" t="e">
        <f ca="1">+_xll.BDP($B4&amp;" Govt",AG$1)</f>
        <v>#NAME?</v>
      </c>
      <c r="AH4" s="70" t="e">
        <f ca="1">+_xll.BDP($B4&amp;" Govt",AH$1)</f>
        <v>#NAME?</v>
      </c>
      <c r="AI4" s="17" t="e">
        <f ca="1">+_xll.BDP($B4&amp;" Govt",AI$1)</f>
        <v>#NAME?</v>
      </c>
      <c r="AJ4" s="17" t="e">
        <f ca="1">+_xll.BDP($B4&amp;" Govt",AJ$1)</f>
        <v>#NAME?</v>
      </c>
      <c r="AK4" s="17" t="e">
        <f ca="1">+_xll.BDP($B4&amp;" Govt",AK$1)</f>
        <v>#NAME?</v>
      </c>
      <c r="AL4" s="17" t="e">
        <f ca="1">+_xll.BDP($B4&amp;" Govt",AL$1)</f>
        <v>#NAME?</v>
      </c>
      <c r="AM4" s="17" t="e">
        <f ca="1">+_xll.BDP($B4&amp;" Govt",AM$1)</f>
        <v>#NAME?</v>
      </c>
      <c r="AN4" s="17" t="e">
        <f ca="1">+_xll.BDP($B4&amp;" Govt",AN$1)</f>
        <v>#NAME?</v>
      </c>
    </row>
    <row r="5" spans="1:40">
      <c r="A5" s="12" t="s">
        <v>118</v>
      </c>
      <c r="B5" s="12" t="s">
        <v>130</v>
      </c>
      <c r="C5" s="12" t="e">
        <f t="shared" ca="1" si="0"/>
        <v>#NAME?</v>
      </c>
      <c r="D5" s="12" t="e">
        <f ca="1">+_xll.BDP($B5&amp;" Govt",D$1)</f>
        <v>#NAME?</v>
      </c>
      <c r="E5" s="17" t="e">
        <f ca="1">+_xll.BDP($B5&amp;" Govt",E$1)</f>
        <v>#NAME?</v>
      </c>
      <c r="F5" s="17" t="s">
        <v>185</v>
      </c>
      <c r="G5" s="17" t="e">
        <f ca="1">+_xll.BDP($B5&amp;" Govt",G$1)</f>
        <v>#NAME?</v>
      </c>
      <c r="H5" s="17" t="e">
        <f ca="1">+_xll.BDP($B5&amp;" Govt",H$1)</f>
        <v>#NAME?</v>
      </c>
      <c r="I5" s="17" t="s">
        <v>187</v>
      </c>
      <c r="J5" s="17" t="e">
        <f ca="1">+_xll.BDP($B5&amp;" Govt",J$1)</f>
        <v>#NAME?</v>
      </c>
      <c r="K5" s="18">
        <v>0</v>
      </c>
      <c r="L5" s="17" t="e">
        <f ca="1">+_xll.BDP($B5&amp;" Govt",L$1)</f>
        <v>#NAME?</v>
      </c>
      <c r="M5" s="17" t="e">
        <f ca="1">+_xll.BDP($B5&amp;" Govt",M$1)</f>
        <v>#NAME?</v>
      </c>
      <c r="N5" s="17" t="e">
        <f ca="1">+_xll.BDP($B5&amp;" Govt",N$1)</f>
        <v>#NAME?</v>
      </c>
      <c r="O5" s="17" t="e">
        <f ca="1">+_xll.BDP($B5&amp;" Govt",O$1)</f>
        <v>#NAME?</v>
      </c>
      <c r="P5" s="17" t="e">
        <f ca="1">+_xll.BDP($B5&amp;" Govt",P$1)</f>
        <v>#NAME?</v>
      </c>
      <c r="Q5" s="17" t="e">
        <f ca="1">+_xll.BDP($B5&amp;" Govt",Q$1)</f>
        <v>#NAME?</v>
      </c>
      <c r="R5" s="17" t="e">
        <f ca="1">+_xll.BDP($B5&amp;" Govt",R$1)</f>
        <v>#NAME?</v>
      </c>
      <c r="S5" s="17" t="e">
        <f ca="1">+_xll.BDP($B5&amp;" Govt",S$1)</f>
        <v>#NAME?</v>
      </c>
      <c r="T5" s="17" t="e">
        <f ca="1">+_xll.BDP($B5&amp;" Govt",T$1)</f>
        <v>#NAME?</v>
      </c>
      <c r="U5" s="17" t="e">
        <f ca="1">+_xll.BDP($B5&amp;" Govt",U$1)</f>
        <v>#NAME?</v>
      </c>
      <c r="V5" s="17" t="e">
        <f ca="1">+_xll.BDP($B5&amp;" Govt",V$1)</f>
        <v>#NAME?</v>
      </c>
      <c r="W5" s="17" t="e">
        <f ca="1">+_xll.BDP($B5&amp;" Govt",W$1)</f>
        <v>#NAME?</v>
      </c>
      <c r="X5" s="17" t="e">
        <f ca="1">+_xll.BDP($B5&amp;" Govt",X$1)</f>
        <v>#NAME?</v>
      </c>
      <c r="Y5" s="17" t="e">
        <f ca="1">+_xll.BDP($B5&amp;" Govt",Y$1)</f>
        <v>#NAME?</v>
      </c>
      <c r="Z5" s="17" t="e">
        <f ca="1">+_xll.BDP($B5&amp;" Govt",Z$1)</f>
        <v>#NAME?</v>
      </c>
      <c r="AA5" s="17" t="e">
        <f ca="1">+_xll.BDP($B5&amp;" Govt",AA$1)</f>
        <v>#NAME?</v>
      </c>
      <c r="AB5" s="17" t="e">
        <f ca="1">+_xll.BDP($B5&amp;" Govt",AB$1)</f>
        <v>#NAME?</v>
      </c>
      <c r="AC5" s="17" t="e">
        <f ca="1">+_xll.BDP($B5&amp;" Govt",AC$1)</f>
        <v>#NAME?</v>
      </c>
      <c r="AD5" s="17" t="e">
        <f ca="1">+_xll.BDP($B5&amp;" Govt",AD$1)</f>
        <v>#NAME?</v>
      </c>
      <c r="AE5" s="17" t="e">
        <f ca="1">+_xll.BDP($B5&amp;" Govt",AE$1)</f>
        <v>#NAME?</v>
      </c>
      <c r="AF5" s="17" t="e">
        <f ca="1">+_xll.BDP($B5&amp;" Govt",AF$1)</f>
        <v>#NAME?</v>
      </c>
      <c r="AG5" s="70" t="e">
        <f ca="1">+_xll.BDP($B5&amp;" Govt",AG$1)</f>
        <v>#NAME?</v>
      </c>
      <c r="AH5" s="70" t="e">
        <f ca="1">+_xll.BDP($B5&amp;" Govt",AH$1)</f>
        <v>#NAME?</v>
      </c>
      <c r="AI5" s="17" t="e">
        <f ca="1">+_xll.BDP($B5&amp;" Govt",AI$1)</f>
        <v>#NAME?</v>
      </c>
      <c r="AJ5" s="17" t="e">
        <f ca="1">+_xll.BDP($B5&amp;" Govt",AJ$1)</f>
        <v>#NAME?</v>
      </c>
      <c r="AK5" s="17" t="e">
        <f ca="1">+_xll.BDP($B5&amp;" Govt",AK$1)</f>
        <v>#NAME?</v>
      </c>
      <c r="AL5" s="17" t="e">
        <f ca="1">+_xll.BDP($B5&amp;" Govt",AL$1)</f>
        <v>#NAME?</v>
      </c>
      <c r="AM5" s="17" t="e">
        <f ca="1">+_xll.BDP($B5&amp;" Govt",AM$1)</f>
        <v>#NAME?</v>
      </c>
      <c r="AN5" s="17" t="e">
        <f ca="1">+_xll.BDP($B5&amp;" Govt",AN$1)</f>
        <v>#NAME?</v>
      </c>
    </row>
    <row r="6" spans="1:40">
      <c r="A6" s="12" t="s">
        <v>119</v>
      </c>
      <c r="B6" s="12" t="s">
        <v>131</v>
      </c>
      <c r="C6" s="12" t="e">
        <f t="shared" ca="1" si="0"/>
        <v>#NAME?</v>
      </c>
      <c r="D6" s="12" t="e">
        <f ca="1">+_xll.BDP($B6&amp;" Govt",D$1)</f>
        <v>#NAME?</v>
      </c>
      <c r="E6" s="17" t="e">
        <f ca="1">+_xll.BDP($B6&amp;" Govt",E$1)</f>
        <v>#NAME?</v>
      </c>
      <c r="F6" s="17" t="s">
        <v>185</v>
      </c>
      <c r="G6" s="17" t="e">
        <f ca="1">+_xll.BDP($B6&amp;" Govt",G$1)</f>
        <v>#NAME?</v>
      </c>
      <c r="H6" s="17" t="e">
        <f ca="1">+_xll.BDP($B6&amp;" Govt",H$1)</f>
        <v>#NAME?</v>
      </c>
      <c r="I6" s="17" t="s">
        <v>187</v>
      </c>
      <c r="J6" s="17" t="e">
        <f ca="1">+_xll.BDP($B6&amp;" Govt",J$1)</f>
        <v>#NAME?</v>
      </c>
      <c r="K6" s="18">
        <v>0</v>
      </c>
      <c r="L6" s="17" t="e">
        <f ca="1">+_xll.BDP($B6&amp;" Govt",L$1)</f>
        <v>#NAME?</v>
      </c>
      <c r="M6" s="17" t="e">
        <f ca="1">+_xll.BDP($B6&amp;" Govt",M$1)</f>
        <v>#NAME?</v>
      </c>
      <c r="N6" s="17" t="e">
        <f ca="1">+_xll.BDP($B6&amp;" Govt",N$1)</f>
        <v>#NAME?</v>
      </c>
      <c r="O6" s="17" t="e">
        <f ca="1">+_xll.BDP($B6&amp;" Govt",O$1)</f>
        <v>#NAME?</v>
      </c>
      <c r="P6" s="17" t="e">
        <f ca="1">+_xll.BDP($B6&amp;" Govt",P$1)</f>
        <v>#NAME?</v>
      </c>
      <c r="Q6" s="17" t="e">
        <f ca="1">+_xll.BDP($B6&amp;" Govt",Q$1)</f>
        <v>#NAME?</v>
      </c>
      <c r="R6" s="17" t="e">
        <f ca="1">+_xll.BDP($B6&amp;" Govt",R$1)</f>
        <v>#NAME?</v>
      </c>
      <c r="S6" s="17" t="e">
        <f ca="1">+_xll.BDP($B6&amp;" Govt",S$1)</f>
        <v>#NAME?</v>
      </c>
      <c r="T6" s="17" t="e">
        <f ca="1">+_xll.BDP($B6&amp;" Govt",T$1)</f>
        <v>#NAME?</v>
      </c>
      <c r="U6" s="17" t="e">
        <f ca="1">+_xll.BDP($B6&amp;" Govt",U$1)</f>
        <v>#NAME?</v>
      </c>
      <c r="V6" s="17" t="e">
        <f ca="1">+_xll.BDP($B6&amp;" Govt",V$1)</f>
        <v>#NAME?</v>
      </c>
      <c r="W6" s="17" t="e">
        <f ca="1">+_xll.BDP($B6&amp;" Govt",W$1)</f>
        <v>#NAME?</v>
      </c>
      <c r="X6" s="17" t="e">
        <f ca="1">+_xll.BDP($B6&amp;" Govt",X$1)</f>
        <v>#NAME?</v>
      </c>
      <c r="Y6" s="17" t="e">
        <f ca="1">+_xll.BDP($B6&amp;" Govt",Y$1)</f>
        <v>#NAME?</v>
      </c>
      <c r="Z6" s="17" t="e">
        <f ca="1">+_xll.BDP($B6&amp;" Govt",Z$1)</f>
        <v>#NAME?</v>
      </c>
      <c r="AA6" s="17" t="e">
        <f ca="1">+_xll.BDP($B6&amp;" Govt",AA$1)</f>
        <v>#NAME?</v>
      </c>
      <c r="AB6" s="17" t="e">
        <f ca="1">+_xll.BDP($B6&amp;" Govt",AB$1)</f>
        <v>#NAME?</v>
      </c>
      <c r="AC6" s="17" t="e">
        <f ca="1">+_xll.BDP($B6&amp;" Govt",AC$1)</f>
        <v>#NAME?</v>
      </c>
      <c r="AD6" s="17" t="e">
        <f ca="1">+_xll.BDP($B6&amp;" Govt",AD$1)</f>
        <v>#NAME?</v>
      </c>
      <c r="AE6" s="17" t="e">
        <f ca="1">+_xll.BDP($B6&amp;" Govt",AE$1)</f>
        <v>#NAME?</v>
      </c>
      <c r="AF6" s="17" t="e">
        <f ca="1">+_xll.BDP($B6&amp;" Govt",AF$1)</f>
        <v>#NAME?</v>
      </c>
      <c r="AG6" s="70" t="e">
        <f ca="1">+_xll.BDP($B6&amp;" Govt",AG$1)</f>
        <v>#NAME?</v>
      </c>
      <c r="AH6" s="70" t="e">
        <f ca="1">+_xll.BDP($B6&amp;" Govt",AH$1)</f>
        <v>#NAME?</v>
      </c>
      <c r="AI6" s="17" t="e">
        <f ca="1">+_xll.BDP($B6&amp;" Govt",AI$1)</f>
        <v>#NAME?</v>
      </c>
      <c r="AJ6" s="17" t="e">
        <f ca="1">+_xll.BDP($B6&amp;" Govt",AJ$1)</f>
        <v>#NAME?</v>
      </c>
      <c r="AK6" s="17" t="e">
        <f ca="1">+_xll.BDP($B6&amp;" Govt",AK$1)</f>
        <v>#NAME?</v>
      </c>
      <c r="AL6" s="17" t="e">
        <f ca="1">+_xll.BDP($B6&amp;" Govt",AL$1)</f>
        <v>#NAME?</v>
      </c>
      <c r="AM6" s="17" t="e">
        <f ca="1">+_xll.BDP($B6&amp;" Govt",AM$1)</f>
        <v>#NAME?</v>
      </c>
      <c r="AN6" s="17" t="e">
        <f ca="1">+_xll.BDP($B6&amp;" Govt",AN$1)</f>
        <v>#NAME?</v>
      </c>
    </row>
    <row r="7" spans="1:40">
      <c r="A7" s="12" t="s">
        <v>120</v>
      </c>
      <c r="B7" s="12" t="s">
        <v>132</v>
      </c>
      <c r="C7" s="12" t="e">
        <f t="shared" ca="1" si="0"/>
        <v>#NAME?</v>
      </c>
      <c r="D7" s="12" t="e">
        <f ca="1">+_xll.BDP($B7&amp;" Govt",D$1)</f>
        <v>#NAME?</v>
      </c>
      <c r="E7" s="17" t="e">
        <f ca="1">+_xll.BDP($B7&amp;" Govt",E$1)</f>
        <v>#NAME?</v>
      </c>
      <c r="F7" s="17" t="s">
        <v>185</v>
      </c>
      <c r="G7" s="17" t="e">
        <f ca="1">+_xll.BDP($B7&amp;" Govt",G$1)</f>
        <v>#NAME?</v>
      </c>
      <c r="H7" s="17" t="e">
        <f ca="1">+_xll.BDP($B7&amp;" Govt",H$1)</f>
        <v>#NAME?</v>
      </c>
      <c r="I7" s="17" t="s">
        <v>187</v>
      </c>
      <c r="J7" s="17" t="e">
        <f ca="1">+_xll.BDP($B7&amp;" Govt",J$1)</f>
        <v>#NAME?</v>
      </c>
      <c r="K7" s="18">
        <v>0</v>
      </c>
      <c r="L7" s="17" t="e">
        <f ca="1">+_xll.BDP($B7&amp;" Govt",L$1)</f>
        <v>#NAME?</v>
      </c>
      <c r="M7" s="17" t="e">
        <f ca="1">+_xll.BDP($B7&amp;" Govt",M$1)</f>
        <v>#NAME?</v>
      </c>
      <c r="N7" s="17" t="e">
        <f ca="1">+_xll.BDP($B7&amp;" Govt",N$1)</f>
        <v>#NAME?</v>
      </c>
      <c r="O7" s="17" t="e">
        <f ca="1">+_xll.BDP($B7&amp;" Govt",O$1)</f>
        <v>#NAME?</v>
      </c>
      <c r="P7" s="17" t="e">
        <f ca="1">+_xll.BDP($B7&amp;" Govt",P$1)</f>
        <v>#NAME?</v>
      </c>
      <c r="Q7" s="17" t="e">
        <f ca="1">+_xll.BDP($B7&amp;" Govt",Q$1)</f>
        <v>#NAME?</v>
      </c>
      <c r="R7" s="17" t="e">
        <f ca="1">+_xll.BDP($B7&amp;" Govt",R$1)</f>
        <v>#NAME?</v>
      </c>
      <c r="S7" s="17" t="e">
        <f ca="1">+_xll.BDP($B7&amp;" Govt",S$1)</f>
        <v>#NAME?</v>
      </c>
      <c r="T7" s="17" t="e">
        <f ca="1">+_xll.BDP($B7&amp;" Govt",T$1)</f>
        <v>#NAME?</v>
      </c>
      <c r="U7" s="17" t="e">
        <f ca="1">+_xll.BDP($B7&amp;" Govt",U$1)</f>
        <v>#NAME?</v>
      </c>
      <c r="V7" s="17" t="e">
        <f ca="1">+_xll.BDP($B7&amp;" Govt",V$1)</f>
        <v>#NAME?</v>
      </c>
      <c r="W7" s="17" t="e">
        <f ca="1">+_xll.BDP($B7&amp;" Govt",W$1)</f>
        <v>#NAME?</v>
      </c>
      <c r="X7" s="17" t="e">
        <f ca="1">+_xll.BDP($B7&amp;" Govt",X$1)</f>
        <v>#NAME?</v>
      </c>
      <c r="Y7" s="17" t="e">
        <f ca="1">+_xll.BDP($B7&amp;" Govt",Y$1)</f>
        <v>#NAME?</v>
      </c>
      <c r="Z7" s="17" t="e">
        <f ca="1">+_xll.BDP($B7&amp;" Govt",Z$1)</f>
        <v>#NAME?</v>
      </c>
      <c r="AA7" s="17" t="e">
        <f ca="1">+_xll.BDP($B7&amp;" Govt",AA$1)</f>
        <v>#NAME?</v>
      </c>
      <c r="AB7" s="17" t="e">
        <f ca="1">+_xll.BDP($B7&amp;" Govt",AB$1)</f>
        <v>#NAME?</v>
      </c>
      <c r="AC7" s="17" t="e">
        <f ca="1">+_xll.BDP($B7&amp;" Govt",AC$1)</f>
        <v>#NAME?</v>
      </c>
      <c r="AD7" s="17" t="e">
        <f ca="1">+_xll.BDP($B7&amp;" Govt",AD$1)</f>
        <v>#NAME?</v>
      </c>
      <c r="AE7" s="17" t="e">
        <f ca="1">+_xll.BDP($B7&amp;" Govt",AE$1)</f>
        <v>#NAME?</v>
      </c>
      <c r="AF7" s="17" t="e">
        <f ca="1">+_xll.BDP($B7&amp;" Govt",AF$1)</f>
        <v>#NAME?</v>
      </c>
      <c r="AG7" s="70" t="e">
        <f ca="1">+_xll.BDP($B7&amp;" Govt",AG$1)</f>
        <v>#NAME?</v>
      </c>
      <c r="AH7" s="70" t="e">
        <f ca="1">+_xll.BDP($B7&amp;" Govt",AH$1)</f>
        <v>#NAME?</v>
      </c>
      <c r="AI7" s="17" t="e">
        <f ca="1">+_xll.BDP($B7&amp;" Govt",AI$1)</f>
        <v>#NAME?</v>
      </c>
      <c r="AJ7" s="17" t="e">
        <f ca="1">+_xll.BDP($B7&amp;" Govt",AJ$1)</f>
        <v>#NAME?</v>
      </c>
      <c r="AK7" s="17" t="e">
        <f ca="1">+_xll.BDP($B7&amp;" Govt",AK$1)</f>
        <v>#NAME?</v>
      </c>
      <c r="AL7" s="17" t="e">
        <f ca="1">+_xll.BDP($B7&amp;" Govt",AL$1)</f>
        <v>#NAME?</v>
      </c>
      <c r="AM7" s="17" t="e">
        <f ca="1">+_xll.BDP($B7&amp;" Govt",AM$1)</f>
        <v>#NAME?</v>
      </c>
      <c r="AN7" s="17" t="e">
        <f ca="1">+_xll.BDP($B7&amp;" Govt",AN$1)</f>
        <v>#NAME?</v>
      </c>
    </row>
    <row r="8" spans="1:40">
      <c r="A8" s="12" t="s">
        <v>121</v>
      </c>
      <c r="B8" s="12" t="s">
        <v>133</v>
      </c>
      <c r="C8" s="12" t="e">
        <f t="shared" ca="1" si="0"/>
        <v>#NAME?</v>
      </c>
      <c r="D8" s="12" t="e">
        <f ca="1">+_xll.BDP($B8&amp;" Govt",D$1)</f>
        <v>#NAME?</v>
      </c>
      <c r="E8" s="17" t="e">
        <f ca="1">+_xll.BDP($B8&amp;" Govt",E$1)</f>
        <v>#NAME?</v>
      </c>
      <c r="F8" s="17" t="s">
        <v>185</v>
      </c>
      <c r="G8" s="17" t="e">
        <f ca="1">+_xll.BDP($B8&amp;" Govt",G$1)</f>
        <v>#NAME?</v>
      </c>
      <c r="H8" s="17" t="e">
        <f ca="1">+_xll.BDP($B8&amp;" Govt",H$1)</f>
        <v>#NAME?</v>
      </c>
      <c r="I8" s="17" t="s">
        <v>187</v>
      </c>
      <c r="J8" s="17" t="e">
        <f ca="1">+_xll.BDP($B8&amp;" Govt",J$1)</f>
        <v>#NAME?</v>
      </c>
      <c r="K8" s="18">
        <v>0</v>
      </c>
      <c r="L8" s="17" t="e">
        <f ca="1">+_xll.BDP($B8&amp;" Govt",L$1)</f>
        <v>#NAME?</v>
      </c>
      <c r="M8" s="17" t="e">
        <f ca="1">+_xll.BDP($B8&amp;" Govt",M$1)</f>
        <v>#NAME?</v>
      </c>
      <c r="N8" s="17" t="e">
        <f ca="1">+_xll.BDP($B8&amp;" Govt",N$1)</f>
        <v>#NAME?</v>
      </c>
      <c r="O8" s="17" t="e">
        <f ca="1">+_xll.BDP($B8&amp;" Govt",O$1)</f>
        <v>#NAME?</v>
      </c>
      <c r="P8" s="17" t="e">
        <f ca="1">+_xll.BDP($B8&amp;" Govt",P$1)</f>
        <v>#NAME?</v>
      </c>
      <c r="Q8" s="17" t="e">
        <f ca="1">+_xll.BDP($B8&amp;" Govt",Q$1)</f>
        <v>#NAME?</v>
      </c>
      <c r="R8" s="17" t="e">
        <f ca="1">+_xll.BDP($B8&amp;" Govt",R$1)</f>
        <v>#NAME?</v>
      </c>
      <c r="S8" s="17" t="e">
        <f ca="1">+_xll.BDP($B8&amp;" Govt",S$1)</f>
        <v>#NAME?</v>
      </c>
      <c r="T8" s="17" t="e">
        <f ca="1">+_xll.BDP($B8&amp;" Govt",T$1)</f>
        <v>#NAME?</v>
      </c>
      <c r="U8" s="17" t="e">
        <f ca="1">+_xll.BDP($B8&amp;" Govt",U$1)</f>
        <v>#NAME?</v>
      </c>
      <c r="V8" s="17" t="e">
        <f ca="1">+_xll.BDP($B8&amp;" Govt",V$1)</f>
        <v>#NAME?</v>
      </c>
      <c r="W8" s="17" t="e">
        <f ca="1">+_xll.BDP($B8&amp;" Govt",W$1)</f>
        <v>#NAME?</v>
      </c>
      <c r="X8" s="17" t="e">
        <f ca="1">+_xll.BDP($B8&amp;" Govt",X$1)</f>
        <v>#NAME?</v>
      </c>
      <c r="Y8" s="17" t="e">
        <f ca="1">+_xll.BDP($B8&amp;" Govt",Y$1)</f>
        <v>#NAME?</v>
      </c>
      <c r="Z8" s="17" t="e">
        <f ca="1">+_xll.BDP($B8&amp;" Govt",Z$1)</f>
        <v>#NAME?</v>
      </c>
      <c r="AA8" s="17" t="e">
        <f ca="1">+_xll.BDP($B8&amp;" Govt",AA$1)</f>
        <v>#NAME?</v>
      </c>
      <c r="AB8" s="17" t="e">
        <f ca="1">+_xll.BDP($B8&amp;" Govt",AB$1)</f>
        <v>#NAME?</v>
      </c>
      <c r="AC8" s="17" t="e">
        <f ca="1">+_xll.BDP($B8&amp;" Govt",AC$1)</f>
        <v>#NAME?</v>
      </c>
      <c r="AD8" s="17" t="e">
        <f ca="1">+_xll.BDP($B8&amp;" Govt",AD$1)</f>
        <v>#NAME?</v>
      </c>
      <c r="AE8" s="17" t="e">
        <f ca="1">+_xll.BDP($B8&amp;" Govt",AE$1)</f>
        <v>#NAME?</v>
      </c>
      <c r="AF8" s="17" t="e">
        <f ca="1">+_xll.BDP($B8&amp;" Govt",AF$1)</f>
        <v>#NAME?</v>
      </c>
      <c r="AG8" s="70" t="e">
        <f ca="1">+_xll.BDP($B8&amp;" Govt",AG$1)</f>
        <v>#NAME?</v>
      </c>
      <c r="AH8" s="70" t="e">
        <f ca="1">+_xll.BDP($B8&amp;" Govt",AH$1)</f>
        <v>#NAME?</v>
      </c>
      <c r="AI8" s="17" t="e">
        <f ca="1">+_xll.BDP($B8&amp;" Govt",AI$1)</f>
        <v>#NAME?</v>
      </c>
      <c r="AJ8" s="17" t="e">
        <f ca="1">+_xll.BDP($B8&amp;" Govt",AJ$1)</f>
        <v>#NAME?</v>
      </c>
      <c r="AK8" s="17" t="e">
        <f ca="1">+_xll.BDP($B8&amp;" Govt",AK$1)</f>
        <v>#NAME?</v>
      </c>
      <c r="AL8" s="17" t="e">
        <f ca="1">+_xll.BDP($B8&amp;" Govt",AL$1)</f>
        <v>#NAME?</v>
      </c>
      <c r="AM8" s="17" t="e">
        <f ca="1">+_xll.BDP($B8&amp;" Govt",AM$1)</f>
        <v>#NAME?</v>
      </c>
      <c r="AN8" s="17" t="e">
        <f ca="1">+_xll.BDP($B8&amp;" Govt",AN$1)</f>
        <v>#NAME?</v>
      </c>
    </row>
    <row r="9" spans="1:40">
      <c r="A9" s="12" t="s">
        <v>127</v>
      </c>
      <c r="B9" s="12" t="s">
        <v>134</v>
      </c>
      <c r="C9" s="12" t="s">
        <v>298</v>
      </c>
      <c r="D9" s="12" t="e">
        <f ca="1">+_xll.BDP($B9&amp;" Govt",D$1)</f>
        <v>#NAME?</v>
      </c>
      <c r="E9" s="17" t="e">
        <f ca="1">+_xll.BDP($B9&amp;" Govt",E$1)</f>
        <v>#NAME?</v>
      </c>
      <c r="F9" s="12" t="s">
        <v>185</v>
      </c>
      <c r="G9" s="17" t="e">
        <f ca="1">+_xll.BDP($B9&amp;" Govt",G$1)</f>
        <v>#NAME?</v>
      </c>
      <c r="H9" s="17" t="e">
        <f ca="1">+_xll.BDP($B9&amp;" Govt",H$1)</f>
        <v>#NAME?</v>
      </c>
      <c r="I9" s="12" t="s">
        <v>187</v>
      </c>
      <c r="J9" s="17" t="e">
        <f ca="1">+_xll.BDP($B9&amp;" Govt",J$1)</f>
        <v>#NAME?</v>
      </c>
      <c r="K9" s="12">
        <v>0</v>
      </c>
      <c r="L9" s="17" t="e">
        <f ca="1">+_xll.BDP($B9&amp;" Govt",L$1)</f>
        <v>#NAME?</v>
      </c>
      <c r="M9" s="17" t="e">
        <f ca="1">+_xll.BDP($B9&amp;" Govt",M$1)</f>
        <v>#NAME?</v>
      </c>
      <c r="N9" s="17" t="e">
        <f ca="1">+_xll.BDP($B9&amp;" Govt",N$1)</f>
        <v>#NAME?</v>
      </c>
      <c r="O9" s="17" t="e">
        <f ca="1">+_xll.BDP($B9&amp;" Govt",O$1)</f>
        <v>#NAME?</v>
      </c>
      <c r="P9" s="17" t="e">
        <f ca="1">+_xll.BDP($B9&amp;" Govt",P$1)</f>
        <v>#NAME?</v>
      </c>
      <c r="Q9" s="17" t="e">
        <f ca="1">+_xll.BDP($B9&amp;" Govt",Q$1)</f>
        <v>#NAME?</v>
      </c>
      <c r="R9" s="17" t="e">
        <f ca="1">+_xll.BDP($B9&amp;" Govt",R$1)</f>
        <v>#NAME?</v>
      </c>
      <c r="S9" s="17" t="e">
        <f ca="1">+_xll.BDP($B9&amp;" Govt",S$1)</f>
        <v>#NAME?</v>
      </c>
      <c r="T9" s="17" t="e">
        <f ca="1">+_xll.BDP($B9&amp;" Govt",T$1)</f>
        <v>#NAME?</v>
      </c>
      <c r="U9" s="17" t="e">
        <f ca="1">+_xll.BDP($B9&amp;" Govt",U$1)</f>
        <v>#NAME?</v>
      </c>
      <c r="V9" s="17" t="e">
        <f ca="1">+_xll.BDP($B9&amp;" Govt",V$1)</f>
        <v>#NAME?</v>
      </c>
      <c r="W9" s="17" t="e">
        <f ca="1">+_xll.BDP($B9&amp;" Govt",W$1)</f>
        <v>#NAME?</v>
      </c>
      <c r="X9" s="17" t="e">
        <f ca="1">+_xll.BDP($B9&amp;" Govt",X$1)</f>
        <v>#NAME?</v>
      </c>
      <c r="Y9" s="17" t="e">
        <f ca="1">+_xll.BDP($B9&amp;" Govt",Y$1)</f>
        <v>#NAME?</v>
      </c>
      <c r="Z9" s="17" t="e">
        <f ca="1">+_xll.BDP($B9&amp;" Govt",Z$1)</f>
        <v>#NAME?</v>
      </c>
      <c r="AA9" s="17" t="e">
        <f ca="1">+_xll.BDP($B9&amp;" Govt",AA$1)</f>
        <v>#NAME?</v>
      </c>
      <c r="AB9" s="17" t="e">
        <f ca="1">+_xll.BDP($B9&amp;" Govt",AB$1)</f>
        <v>#NAME?</v>
      </c>
      <c r="AC9" s="17" t="e">
        <f ca="1">+_xll.BDP($B9&amp;" Govt",AC$1)</f>
        <v>#NAME?</v>
      </c>
      <c r="AD9" s="17" t="e">
        <f ca="1">+_xll.BDP($B9&amp;" Govt",AD$1)</f>
        <v>#NAME?</v>
      </c>
      <c r="AE9" s="17" t="e">
        <f ca="1">+_xll.BDP($B9&amp;" Govt",AE$1)</f>
        <v>#NAME?</v>
      </c>
      <c r="AF9" s="17" t="e">
        <f ca="1">+_xll.BDP($B9&amp;" Govt",AF$1)</f>
        <v>#NAME?</v>
      </c>
      <c r="AG9" s="70" t="e">
        <f ca="1">+_xll.BDP($B9&amp;" Govt",AG$1)</f>
        <v>#NAME?</v>
      </c>
      <c r="AH9" s="70" t="e">
        <f ca="1">+_xll.BDP($B9&amp;" Govt",AH$1)</f>
        <v>#NAME?</v>
      </c>
      <c r="AI9" s="17" t="e">
        <f ca="1">+_xll.BDP($B9&amp;" Govt",AI$1)</f>
        <v>#NAME?</v>
      </c>
      <c r="AJ9" s="17" t="e">
        <f ca="1">+_xll.BDP($B9&amp;" Govt",AJ$1)</f>
        <v>#NAME?</v>
      </c>
      <c r="AK9" s="17" t="e">
        <f ca="1">+_xll.BDP($B9&amp;" Govt",AK$1)</f>
        <v>#NAME?</v>
      </c>
      <c r="AL9" s="17" t="e">
        <f ca="1">+_xll.BDP($B9&amp;" Govt",AL$1)</f>
        <v>#NAME?</v>
      </c>
      <c r="AM9" s="17" t="e">
        <f ca="1">+_xll.BDP($B9&amp;" Govt",AM$1)</f>
        <v>#NAME?</v>
      </c>
      <c r="AN9" s="17" t="e">
        <f ca="1">+_xll.BDP($B9&amp;" Govt",AN$1)</f>
        <v>#NAME?</v>
      </c>
    </row>
    <row r="10" spans="1:40">
      <c r="A10" s="12" t="s">
        <v>122</v>
      </c>
      <c r="B10" s="12" t="s">
        <v>135</v>
      </c>
      <c r="C10" s="12" t="e">
        <f t="shared" ca="1" si="0"/>
        <v>#NAME?</v>
      </c>
      <c r="D10" s="12" t="e">
        <f ca="1">+_xll.BDP($B10&amp;" Govt",D$1)</f>
        <v>#NAME?</v>
      </c>
      <c r="E10" s="17" t="e">
        <f ca="1">+_xll.BDP($B10&amp;" Govt",E$1)</f>
        <v>#NAME?</v>
      </c>
      <c r="F10" s="17" t="s">
        <v>185</v>
      </c>
      <c r="G10" s="17" t="e">
        <f ca="1">+_xll.BDP($B10&amp;" Govt",G$1)</f>
        <v>#NAME?</v>
      </c>
      <c r="H10" s="17" t="e">
        <f ca="1">+_xll.BDP($B10&amp;" Govt",H$1)</f>
        <v>#NAME?</v>
      </c>
      <c r="I10" s="17" t="s">
        <v>187</v>
      </c>
      <c r="J10" s="17" t="e">
        <f ca="1">+_xll.BDP($B10&amp;" Govt",J$1)</f>
        <v>#NAME?</v>
      </c>
      <c r="K10" s="18">
        <v>0</v>
      </c>
      <c r="L10" s="17" t="e">
        <f ca="1">+_xll.BDP($B10&amp;" Govt",L$1)</f>
        <v>#NAME?</v>
      </c>
      <c r="M10" s="17" t="e">
        <f ca="1">+_xll.BDP($B10&amp;" Govt",M$1)</f>
        <v>#NAME?</v>
      </c>
      <c r="N10" s="17" t="e">
        <f ca="1">+_xll.BDP($B10&amp;" Govt",N$1)</f>
        <v>#NAME?</v>
      </c>
      <c r="O10" s="17" t="e">
        <f ca="1">+_xll.BDP($B10&amp;" Govt",O$1)</f>
        <v>#NAME?</v>
      </c>
      <c r="P10" s="17" t="e">
        <f ca="1">+_xll.BDP($B10&amp;" Govt",P$1)</f>
        <v>#NAME?</v>
      </c>
      <c r="Q10" s="17" t="e">
        <f ca="1">+_xll.BDP($B10&amp;" Govt",Q$1)</f>
        <v>#NAME?</v>
      </c>
      <c r="R10" s="17" t="e">
        <f ca="1">+_xll.BDP($B10&amp;" Govt",R$1)</f>
        <v>#NAME?</v>
      </c>
      <c r="S10" s="17" t="e">
        <f ca="1">+_xll.BDP($B10&amp;" Govt",S$1)</f>
        <v>#NAME?</v>
      </c>
      <c r="T10" s="17" t="e">
        <f ca="1">+_xll.BDP($B10&amp;" Govt",T$1)</f>
        <v>#NAME?</v>
      </c>
      <c r="U10" s="17" t="e">
        <f ca="1">+_xll.BDP($B10&amp;" Govt",U$1)</f>
        <v>#NAME?</v>
      </c>
      <c r="V10" s="17" t="e">
        <f ca="1">+_xll.BDP($B10&amp;" Govt",V$1)</f>
        <v>#NAME?</v>
      </c>
      <c r="W10" s="17" t="e">
        <f ca="1">+_xll.BDP($B10&amp;" Govt",W$1)</f>
        <v>#NAME?</v>
      </c>
      <c r="X10" s="17" t="e">
        <f ca="1">+_xll.BDP($B10&amp;" Govt",X$1)</f>
        <v>#NAME?</v>
      </c>
      <c r="Y10" s="17" t="e">
        <f ca="1">+_xll.BDP($B10&amp;" Govt",Y$1)</f>
        <v>#NAME?</v>
      </c>
      <c r="Z10" s="17" t="e">
        <f ca="1">+_xll.BDP($B10&amp;" Govt",Z$1)</f>
        <v>#NAME?</v>
      </c>
      <c r="AA10" s="17" t="e">
        <f ca="1">+_xll.BDP($B10&amp;" Govt",AA$1)</f>
        <v>#NAME?</v>
      </c>
      <c r="AB10" s="17" t="e">
        <f ca="1">+_xll.BDP($B10&amp;" Govt",AB$1)</f>
        <v>#NAME?</v>
      </c>
      <c r="AC10" s="17" t="e">
        <f ca="1">+_xll.BDP($B10&amp;" Govt",AC$1)</f>
        <v>#NAME?</v>
      </c>
      <c r="AD10" s="17" t="e">
        <f ca="1">+_xll.BDP($B10&amp;" Govt",AD$1)</f>
        <v>#NAME?</v>
      </c>
      <c r="AE10" s="17" t="e">
        <f ca="1">+_xll.BDP($B10&amp;" Govt",AE$1)</f>
        <v>#NAME?</v>
      </c>
      <c r="AF10" s="17" t="e">
        <f ca="1">+_xll.BDP($B10&amp;" Govt",AF$1)</f>
        <v>#NAME?</v>
      </c>
      <c r="AG10" s="70" t="e">
        <f ca="1">+_xll.BDP($B10&amp;" Govt",AG$1)</f>
        <v>#NAME?</v>
      </c>
      <c r="AH10" s="70" t="e">
        <f ca="1">+_xll.BDP($B10&amp;" Govt",AH$1)</f>
        <v>#NAME?</v>
      </c>
      <c r="AI10" s="17" t="e">
        <f ca="1">+_xll.BDP($B10&amp;" Govt",AI$1)</f>
        <v>#NAME?</v>
      </c>
      <c r="AJ10" s="17" t="e">
        <f ca="1">+_xll.BDP($B10&amp;" Govt",AJ$1)</f>
        <v>#NAME?</v>
      </c>
      <c r="AK10" s="17" t="e">
        <f ca="1">+_xll.BDP($B10&amp;" Govt",AK$1)</f>
        <v>#NAME?</v>
      </c>
      <c r="AL10" s="17" t="e">
        <f ca="1">+_xll.BDP($B10&amp;" Govt",AL$1)</f>
        <v>#NAME?</v>
      </c>
      <c r="AM10" s="17" t="e">
        <f ca="1">+_xll.BDP($B10&amp;" Govt",AM$1)</f>
        <v>#NAME?</v>
      </c>
      <c r="AN10" s="17" t="e">
        <f ca="1">+_xll.BDP($B10&amp;" Govt",AN$1)</f>
        <v>#NAME?</v>
      </c>
    </row>
    <row r="11" spans="1:40">
      <c r="A11" s="12" t="s">
        <v>123</v>
      </c>
      <c r="B11" s="12" t="s">
        <v>136</v>
      </c>
      <c r="C11" s="12" t="e">
        <f t="shared" ca="1" si="0"/>
        <v>#NAME?</v>
      </c>
      <c r="D11" s="12" t="e">
        <f ca="1">+_xll.BDP($B11&amp;" Govt",D$1)</f>
        <v>#NAME?</v>
      </c>
      <c r="E11" s="17" t="e">
        <f ca="1">+_xll.BDP($B11&amp;" Govt",E$1)</f>
        <v>#NAME?</v>
      </c>
      <c r="F11" s="17" t="s">
        <v>185</v>
      </c>
      <c r="G11" s="17" t="e">
        <f ca="1">+_xll.BDP($B11&amp;" Govt",G$1)</f>
        <v>#NAME?</v>
      </c>
      <c r="H11" s="17" t="e">
        <f ca="1">+_xll.BDP($B11&amp;" Govt",H$1)</f>
        <v>#NAME?</v>
      </c>
      <c r="I11" s="17" t="s">
        <v>187</v>
      </c>
      <c r="J11" s="17" t="e">
        <f ca="1">+_xll.BDP($B11&amp;" Govt",J$1)</f>
        <v>#NAME?</v>
      </c>
      <c r="K11" s="18">
        <v>0</v>
      </c>
      <c r="L11" s="17" t="e">
        <f ca="1">+_xll.BDP($B11&amp;" Govt",L$1)</f>
        <v>#NAME?</v>
      </c>
      <c r="M11" s="17" t="e">
        <f ca="1">+_xll.BDP($B11&amp;" Govt",M$1)</f>
        <v>#NAME?</v>
      </c>
      <c r="N11" s="17" t="e">
        <f ca="1">+_xll.BDP($B11&amp;" Govt",N$1)</f>
        <v>#NAME?</v>
      </c>
      <c r="O11" s="17" t="e">
        <f ca="1">+_xll.BDP($B11&amp;" Govt",O$1)</f>
        <v>#NAME?</v>
      </c>
      <c r="P11" s="17" t="e">
        <f ca="1">+_xll.BDP($B11&amp;" Govt",P$1)</f>
        <v>#NAME?</v>
      </c>
      <c r="Q11" s="17" t="e">
        <f ca="1">+_xll.BDP($B11&amp;" Govt",Q$1)</f>
        <v>#NAME?</v>
      </c>
      <c r="R11" s="17" t="e">
        <f ca="1">+_xll.BDP($B11&amp;" Govt",R$1)</f>
        <v>#NAME?</v>
      </c>
      <c r="S11" s="17" t="e">
        <f ca="1">+_xll.BDP($B11&amp;" Govt",S$1)</f>
        <v>#NAME?</v>
      </c>
      <c r="T11" s="17" t="e">
        <f ca="1">+_xll.BDP($B11&amp;" Govt",T$1)</f>
        <v>#NAME?</v>
      </c>
      <c r="U11" s="17" t="e">
        <f ca="1">+_xll.BDP($B11&amp;" Govt",U$1)</f>
        <v>#NAME?</v>
      </c>
      <c r="V11" s="17" t="e">
        <f ca="1">+_xll.BDP($B11&amp;" Govt",V$1)</f>
        <v>#NAME?</v>
      </c>
      <c r="W11" s="17" t="e">
        <f ca="1">+_xll.BDP($B11&amp;" Govt",W$1)</f>
        <v>#NAME?</v>
      </c>
      <c r="X11" s="17" t="e">
        <f ca="1">+_xll.BDP($B11&amp;" Govt",X$1)</f>
        <v>#NAME?</v>
      </c>
      <c r="Y11" s="17" t="e">
        <f ca="1">+_xll.BDP($B11&amp;" Govt",Y$1)</f>
        <v>#NAME?</v>
      </c>
      <c r="Z11" s="17" t="e">
        <f ca="1">+_xll.BDP($B11&amp;" Govt",Z$1)</f>
        <v>#NAME?</v>
      </c>
      <c r="AA11" s="17" t="e">
        <f ca="1">+_xll.BDP($B11&amp;" Govt",AA$1)</f>
        <v>#NAME?</v>
      </c>
      <c r="AB11" s="17" t="e">
        <f ca="1">+_xll.BDP($B11&amp;" Govt",AB$1)</f>
        <v>#NAME?</v>
      </c>
      <c r="AC11" s="17" t="e">
        <f ca="1">+_xll.BDP($B11&amp;" Govt",AC$1)</f>
        <v>#NAME?</v>
      </c>
      <c r="AD11" s="17" t="e">
        <f ca="1">+_xll.BDP($B11&amp;" Govt",AD$1)</f>
        <v>#NAME?</v>
      </c>
      <c r="AE11" s="17" t="e">
        <f ca="1">+_xll.BDP($B11&amp;" Govt",AE$1)</f>
        <v>#NAME?</v>
      </c>
      <c r="AF11" s="17" t="e">
        <f ca="1">+_xll.BDP($B11&amp;" Govt",AF$1)</f>
        <v>#NAME?</v>
      </c>
      <c r="AG11" s="70" t="e">
        <f ca="1">+_xll.BDP($B11&amp;" Govt",AG$1)</f>
        <v>#NAME?</v>
      </c>
      <c r="AH11" s="70" t="e">
        <f ca="1">+_xll.BDP($B11&amp;" Govt",AH$1)</f>
        <v>#NAME?</v>
      </c>
      <c r="AI11" s="17" t="e">
        <f ca="1">+_xll.BDP($B11&amp;" Govt",AI$1)</f>
        <v>#NAME?</v>
      </c>
      <c r="AJ11" s="17" t="e">
        <f ca="1">+_xll.BDP($B11&amp;" Govt",AJ$1)</f>
        <v>#NAME?</v>
      </c>
      <c r="AK11" s="17" t="e">
        <f ca="1">+_xll.BDP($B11&amp;" Govt",AK$1)</f>
        <v>#NAME?</v>
      </c>
      <c r="AL11" s="17" t="e">
        <f ca="1">+_xll.BDP($B11&amp;" Govt",AL$1)</f>
        <v>#NAME?</v>
      </c>
      <c r="AM11" s="17" t="e">
        <f ca="1">+_xll.BDP($B11&amp;" Govt",AM$1)</f>
        <v>#NAME?</v>
      </c>
      <c r="AN11" s="17" t="e">
        <f ca="1">+_xll.BDP($B11&amp;" Govt",AN$1)</f>
        <v>#NAME?</v>
      </c>
    </row>
    <row r="12" spans="1:40">
      <c r="A12" s="12" t="s">
        <v>124</v>
      </c>
      <c r="B12" s="19" t="s">
        <v>137</v>
      </c>
      <c r="C12" s="12" t="e">
        <f t="shared" ca="1" si="0"/>
        <v>#NAME?</v>
      </c>
      <c r="D12" s="12" t="e">
        <f ca="1">+_xll.BDP($B12&amp;" Govt",D$1)</f>
        <v>#NAME?</v>
      </c>
      <c r="E12" s="17" t="e">
        <f ca="1">+_xll.BDP($B12&amp;" Govt",E$1)</f>
        <v>#NAME?</v>
      </c>
      <c r="F12" s="17" t="s">
        <v>185</v>
      </c>
      <c r="G12" s="17" t="e">
        <f ca="1">+_xll.BDP($B12&amp;" Govt",G$1)</f>
        <v>#NAME?</v>
      </c>
      <c r="H12" s="17" t="e">
        <f ca="1">+_xll.BDP($B12&amp;" Govt",H$1)</f>
        <v>#NAME?</v>
      </c>
      <c r="I12" s="17" t="s">
        <v>187</v>
      </c>
      <c r="J12" s="17" t="e">
        <f ca="1">+_xll.BDP($B12&amp;" Govt",J$1)</f>
        <v>#NAME?</v>
      </c>
      <c r="K12" s="18">
        <v>0</v>
      </c>
      <c r="L12" s="17" t="e">
        <f ca="1">+_xll.BDP($B12&amp;" Govt",L$1)</f>
        <v>#NAME?</v>
      </c>
      <c r="M12" s="17" t="e">
        <f ca="1">+_xll.BDP($B12&amp;" Govt",M$1)</f>
        <v>#NAME?</v>
      </c>
      <c r="N12" s="17" t="e">
        <f ca="1">+_xll.BDP($B12&amp;" Govt",N$1)</f>
        <v>#NAME?</v>
      </c>
      <c r="O12" s="17" t="e">
        <f ca="1">+_xll.BDP($B12&amp;" Govt",O$1)</f>
        <v>#NAME?</v>
      </c>
      <c r="P12" s="17" t="e">
        <f ca="1">+_xll.BDP($B12&amp;" Govt",P$1)</f>
        <v>#NAME?</v>
      </c>
      <c r="Q12" s="17" t="e">
        <f ca="1">+_xll.BDP($B12&amp;" Govt",Q$1)</f>
        <v>#NAME?</v>
      </c>
      <c r="R12" s="17" t="e">
        <f ca="1">+_xll.BDP($B12&amp;" Govt",R$1)</f>
        <v>#NAME?</v>
      </c>
      <c r="S12" s="17" t="e">
        <f ca="1">+_xll.BDP($B12&amp;" Govt",S$1)</f>
        <v>#NAME?</v>
      </c>
      <c r="T12" s="17" t="e">
        <f ca="1">+_xll.BDP($B12&amp;" Govt",T$1)</f>
        <v>#NAME?</v>
      </c>
      <c r="U12" s="17" t="e">
        <f ca="1">+_xll.BDP($B12&amp;" Govt",U$1)</f>
        <v>#NAME?</v>
      </c>
      <c r="V12" s="17" t="e">
        <f ca="1">+_xll.BDP($B12&amp;" Govt",V$1)</f>
        <v>#NAME?</v>
      </c>
      <c r="W12" s="17" t="e">
        <f ca="1">+_xll.BDP($B12&amp;" Govt",W$1)</f>
        <v>#NAME?</v>
      </c>
      <c r="X12" s="17" t="e">
        <f ca="1">+_xll.BDP($B12&amp;" Govt",X$1)</f>
        <v>#NAME?</v>
      </c>
      <c r="Y12" s="17" t="e">
        <f ca="1">+_xll.BDP($B12&amp;" Govt",Y$1)</f>
        <v>#NAME?</v>
      </c>
      <c r="Z12" s="17" t="e">
        <f ca="1">+_xll.BDP($B12&amp;" Govt",Z$1)</f>
        <v>#NAME?</v>
      </c>
      <c r="AA12" s="17" t="e">
        <f ca="1">+_xll.BDP($B12&amp;" Govt",AA$1)</f>
        <v>#NAME?</v>
      </c>
      <c r="AB12" s="17" t="e">
        <f ca="1">+_xll.BDP($B12&amp;" Govt",AB$1)</f>
        <v>#NAME?</v>
      </c>
      <c r="AC12" s="17" t="e">
        <f ca="1">+_xll.BDP($B12&amp;" Govt",AC$1)</f>
        <v>#NAME?</v>
      </c>
      <c r="AD12" s="17" t="e">
        <f ca="1">+_xll.BDP($B12&amp;" Govt",AD$1)</f>
        <v>#NAME?</v>
      </c>
      <c r="AE12" s="17" t="e">
        <f ca="1">+_xll.BDP($B12&amp;" Govt",AE$1)</f>
        <v>#NAME?</v>
      </c>
      <c r="AF12" s="17" t="e">
        <f ca="1">+_xll.BDP($B12&amp;" Govt",AF$1)</f>
        <v>#NAME?</v>
      </c>
      <c r="AG12" s="70" t="e">
        <f ca="1">+_xll.BDP($B12&amp;" Govt",AG$1)</f>
        <v>#NAME?</v>
      </c>
      <c r="AH12" s="70" t="e">
        <f ca="1">+_xll.BDP($B12&amp;" Govt",AH$1)</f>
        <v>#NAME?</v>
      </c>
      <c r="AI12" s="17" t="e">
        <f ca="1">+_xll.BDP($B12&amp;" Govt",AI$1)</f>
        <v>#NAME?</v>
      </c>
      <c r="AJ12" s="17" t="e">
        <f ca="1">+_xll.BDP($B12&amp;" Govt",AJ$1)</f>
        <v>#NAME?</v>
      </c>
      <c r="AK12" s="17" t="e">
        <f ca="1">+_xll.BDP($B12&amp;" Govt",AK$1)</f>
        <v>#NAME?</v>
      </c>
      <c r="AL12" s="17" t="e">
        <f ca="1">+_xll.BDP($B12&amp;" Govt",AL$1)</f>
        <v>#NAME?</v>
      </c>
      <c r="AM12" s="17" t="e">
        <f ca="1">+_xll.BDP($B12&amp;" Govt",AM$1)</f>
        <v>#NAME?</v>
      </c>
      <c r="AN12" s="17" t="e">
        <f ca="1">+_xll.BDP($B12&amp;" Govt",AN$1)</f>
        <v>#NAME?</v>
      </c>
    </row>
    <row r="13" spans="1:40">
      <c r="A13" s="12" t="s">
        <v>125</v>
      </c>
      <c r="B13" s="12" t="s">
        <v>138</v>
      </c>
      <c r="C13" s="12" t="e">
        <f t="shared" ca="1" si="0"/>
        <v>#NAME?</v>
      </c>
      <c r="D13" s="12" t="e">
        <f ca="1">+_xll.BDP($B13&amp;" Govt",D$1)</f>
        <v>#NAME?</v>
      </c>
      <c r="E13" s="17" t="e">
        <f ca="1">+_xll.BDP($B13&amp;" Govt",E$1)</f>
        <v>#NAME?</v>
      </c>
      <c r="F13" s="17" t="s">
        <v>185</v>
      </c>
      <c r="G13" s="17" t="e">
        <f ca="1">+_xll.BDP($B13&amp;" Govt",G$1)</f>
        <v>#NAME?</v>
      </c>
      <c r="H13" s="17" t="e">
        <f ca="1">+_xll.BDP($B13&amp;" Govt",H$1)</f>
        <v>#NAME?</v>
      </c>
      <c r="I13" s="17" t="s">
        <v>187</v>
      </c>
      <c r="J13" s="17" t="e">
        <f ca="1">+_xll.BDP($B13&amp;" Govt",J$1)</f>
        <v>#NAME?</v>
      </c>
      <c r="K13" s="18">
        <v>0</v>
      </c>
      <c r="L13" s="17" t="e">
        <f ca="1">+_xll.BDP($B13&amp;" Govt",L$1)</f>
        <v>#NAME?</v>
      </c>
      <c r="M13" s="17" t="e">
        <f ca="1">+_xll.BDP($B13&amp;" Govt",M$1)</f>
        <v>#NAME?</v>
      </c>
      <c r="N13" s="17" t="e">
        <f ca="1">+_xll.BDP($B13&amp;" Govt",N$1)</f>
        <v>#NAME?</v>
      </c>
      <c r="O13" s="17" t="e">
        <f ca="1">+_xll.BDP($B13&amp;" Govt",O$1)</f>
        <v>#NAME?</v>
      </c>
      <c r="P13" s="17" t="e">
        <f ca="1">+_xll.BDP($B13&amp;" Govt",P$1)</f>
        <v>#NAME?</v>
      </c>
      <c r="Q13" s="17" t="e">
        <f ca="1">+_xll.BDP($B13&amp;" Govt",Q$1)</f>
        <v>#NAME?</v>
      </c>
      <c r="R13" s="17" t="e">
        <f ca="1">+_xll.BDP($B13&amp;" Govt",R$1)</f>
        <v>#NAME?</v>
      </c>
      <c r="S13" s="17" t="e">
        <f ca="1">+_xll.BDP($B13&amp;" Govt",S$1)</f>
        <v>#NAME?</v>
      </c>
      <c r="T13" s="17" t="e">
        <f ca="1">+_xll.BDP($B13&amp;" Govt",T$1)</f>
        <v>#NAME?</v>
      </c>
      <c r="U13" s="17" t="e">
        <f ca="1">+_xll.BDP($B13&amp;" Govt",U$1)</f>
        <v>#NAME?</v>
      </c>
      <c r="V13" s="17" t="e">
        <f ca="1">+_xll.BDP($B13&amp;" Govt",V$1)</f>
        <v>#NAME?</v>
      </c>
      <c r="W13" s="17" t="e">
        <f ca="1">+_xll.BDP($B13&amp;" Govt",W$1)</f>
        <v>#NAME?</v>
      </c>
      <c r="X13" s="17" t="e">
        <f ca="1">+_xll.BDP($B13&amp;" Govt",X$1)</f>
        <v>#NAME?</v>
      </c>
      <c r="Y13" s="17" t="e">
        <f ca="1">+_xll.BDP($B13&amp;" Govt",Y$1)</f>
        <v>#NAME?</v>
      </c>
      <c r="Z13" s="17" t="e">
        <f ca="1">+_xll.BDP($B13&amp;" Govt",Z$1)</f>
        <v>#NAME?</v>
      </c>
      <c r="AA13" s="17" t="e">
        <f ca="1">+_xll.BDP($B13&amp;" Govt",AA$1)</f>
        <v>#NAME?</v>
      </c>
      <c r="AB13" s="17" t="e">
        <f ca="1">+_xll.BDP($B13&amp;" Govt",AB$1)</f>
        <v>#NAME?</v>
      </c>
      <c r="AC13" s="17" t="e">
        <f ca="1">+_xll.BDP($B13&amp;" Govt",AC$1)</f>
        <v>#NAME?</v>
      </c>
      <c r="AD13" s="17" t="e">
        <f ca="1">+_xll.BDP($B13&amp;" Govt",AD$1)</f>
        <v>#NAME?</v>
      </c>
      <c r="AE13" s="17" t="e">
        <f ca="1">+_xll.BDP($B13&amp;" Govt",AE$1)</f>
        <v>#NAME?</v>
      </c>
      <c r="AF13" s="17" t="e">
        <f ca="1">+_xll.BDP($B13&amp;" Govt",AF$1)</f>
        <v>#NAME?</v>
      </c>
      <c r="AG13" s="70" t="e">
        <f ca="1">+_xll.BDP($B13&amp;" Govt",AG$1)</f>
        <v>#NAME?</v>
      </c>
      <c r="AH13" s="70" t="e">
        <f ca="1">+_xll.BDP($B13&amp;" Govt",AH$1)</f>
        <v>#NAME?</v>
      </c>
      <c r="AI13" s="17" t="e">
        <f ca="1">+_xll.BDP($B13&amp;" Govt",AI$1)</f>
        <v>#NAME?</v>
      </c>
      <c r="AJ13" s="17" t="e">
        <f ca="1">+_xll.BDP($B13&amp;" Govt",AJ$1)</f>
        <v>#NAME?</v>
      </c>
      <c r="AK13" s="17" t="e">
        <f ca="1">+_xll.BDP($B13&amp;" Govt",AK$1)</f>
        <v>#NAME?</v>
      </c>
      <c r="AL13" s="17" t="e">
        <f ca="1">+_xll.BDP($B13&amp;" Govt",AL$1)</f>
        <v>#NAME?</v>
      </c>
      <c r="AM13" s="17" t="e">
        <f ca="1">+_xll.BDP($B13&amp;" Govt",AM$1)</f>
        <v>#NAME?</v>
      </c>
      <c r="AN13" s="17" t="e">
        <f ca="1">+_xll.BDP($B13&amp;" Govt",AN$1)</f>
        <v>#NAME?</v>
      </c>
    </row>
    <row r="14" spans="1:40">
      <c r="A14" s="12" t="s">
        <v>126</v>
      </c>
      <c r="B14" s="12" t="s">
        <v>139</v>
      </c>
      <c r="C14" s="12" t="e">
        <f t="shared" ca="1" si="0"/>
        <v>#NAME?</v>
      </c>
      <c r="D14" s="12" t="e">
        <f ca="1">+_xll.BDP($B14&amp;" Govt",D$1)</f>
        <v>#NAME?</v>
      </c>
      <c r="E14" s="17" t="e">
        <f ca="1">+_xll.BDP($B14&amp;" Govt",E$1)</f>
        <v>#NAME?</v>
      </c>
      <c r="F14" s="17" t="s">
        <v>185</v>
      </c>
      <c r="G14" s="17" t="e">
        <f ca="1">+_xll.BDP($B14&amp;" Govt",G$1)</f>
        <v>#NAME?</v>
      </c>
      <c r="H14" s="17" t="e">
        <f ca="1">+_xll.BDP($B14&amp;" Govt",H$1)</f>
        <v>#NAME?</v>
      </c>
      <c r="I14" s="17" t="s">
        <v>187</v>
      </c>
      <c r="J14" s="17" t="e">
        <f ca="1">+_xll.BDP($B14&amp;" Govt",J$1)</f>
        <v>#NAME?</v>
      </c>
      <c r="K14" s="18">
        <v>0</v>
      </c>
      <c r="L14" s="17" t="e">
        <f ca="1">+_xll.BDP($B14&amp;" Govt",L$1)</f>
        <v>#NAME?</v>
      </c>
      <c r="M14" s="17" t="e">
        <f ca="1">+_xll.BDP($B14&amp;" Govt",M$1)</f>
        <v>#NAME?</v>
      </c>
      <c r="N14" s="17" t="e">
        <f ca="1">+_xll.BDP($B14&amp;" Govt",N$1)</f>
        <v>#NAME?</v>
      </c>
      <c r="O14" s="17" t="e">
        <f ca="1">+_xll.BDP($B14&amp;" Govt",O$1)</f>
        <v>#NAME?</v>
      </c>
      <c r="P14" s="17" t="e">
        <f ca="1">+_xll.BDP($B14&amp;" Govt",P$1)</f>
        <v>#NAME?</v>
      </c>
      <c r="Q14" s="17" t="e">
        <f ca="1">+_xll.BDP($B14&amp;" Govt",Q$1)</f>
        <v>#NAME?</v>
      </c>
      <c r="R14" s="17" t="e">
        <f ca="1">+_xll.BDP($B14&amp;" Govt",R$1)</f>
        <v>#NAME?</v>
      </c>
      <c r="S14" s="17" t="e">
        <f ca="1">+_xll.BDP($B14&amp;" Govt",S$1)</f>
        <v>#NAME?</v>
      </c>
      <c r="T14" s="17" t="e">
        <f ca="1">+_xll.BDP($B14&amp;" Govt",T$1)</f>
        <v>#NAME?</v>
      </c>
      <c r="U14" s="17" t="e">
        <f ca="1">+_xll.BDP($B14&amp;" Govt",U$1)</f>
        <v>#NAME?</v>
      </c>
      <c r="V14" s="17" t="e">
        <f ca="1">+_xll.BDP($B14&amp;" Govt",V$1)</f>
        <v>#NAME?</v>
      </c>
      <c r="W14" s="17" t="e">
        <f ca="1">+_xll.BDP($B14&amp;" Govt",W$1)</f>
        <v>#NAME?</v>
      </c>
      <c r="X14" s="17" t="e">
        <f ca="1">+_xll.BDP($B14&amp;" Govt",X$1)</f>
        <v>#NAME?</v>
      </c>
      <c r="Y14" s="17" t="e">
        <f ca="1">+_xll.BDP($B14&amp;" Govt",Y$1)</f>
        <v>#NAME?</v>
      </c>
      <c r="Z14" s="17" t="e">
        <f ca="1">+_xll.BDP($B14&amp;" Govt",Z$1)</f>
        <v>#NAME?</v>
      </c>
      <c r="AA14" s="17" t="e">
        <f ca="1">+_xll.BDP($B14&amp;" Govt",AA$1)</f>
        <v>#NAME?</v>
      </c>
      <c r="AB14" s="17" t="e">
        <f ca="1">+_xll.BDP($B14&amp;" Govt",AB$1)</f>
        <v>#NAME?</v>
      </c>
      <c r="AC14" s="17" t="e">
        <f ca="1">+_xll.BDP($B14&amp;" Govt",AC$1)</f>
        <v>#NAME?</v>
      </c>
      <c r="AD14" s="17" t="e">
        <f ca="1">+_xll.BDP($B14&amp;" Govt",AD$1)</f>
        <v>#NAME?</v>
      </c>
      <c r="AE14" s="17" t="e">
        <f ca="1">+_xll.BDP($B14&amp;" Govt",AE$1)</f>
        <v>#NAME?</v>
      </c>
      <c r="AF14" s="17" t="e">
        <f ca="1">+_xll.BDP($B14&amp;" Govt",AF$1)</f>
        <v>#NAME?</v>
      </c>
      <c r="AG14" s="70" t="e">
        <f ca="1">+_xll.BDP($B14&amp;" Govt",AG$1)</f>
        <v>#NAME?</v>
      </c>
      <c r="AH14" s="70" t="e">
        <f ca="1">+_xll.BDP($B14&amp;" Govt",AH$1)</f>
        <v>#NAME?</v>
      </c>
      <c r="AI14" s="17" t="e">
        <f ca="1">+_xll.BDP($B14&amp;" Govt",AI$1)</f>
        <v>#NAME?</v>
      </c>
      <c r="AJ14" s="17" t="e">
        <f ca="1">+_xll.BDP($B14&amp;" Govt",AJ$1)</f>
        <v>#NAME?</v>
      </c>
      <c r="AK14" s="17" t="e">
        <f ca="1">+_xll.BDP($B14&amp;" Govt",AK$1)</f>
        <v>#NAME?</v>
      </c>
      <c r="AL14" s="17" t="e">
        <f ca="1">+_xll.BDP($B14&amp;" Govt",AL$1)</f>
        <v>#NAME?</v>
      </c>
      <c r="AM14" s="17" t="e">
        <f ca="1">+_xll.BDP($B14&amp;" Govt",AM$1)</f>
        <v>#NAME?</v>
      </c>
      <c r="AN14" s="17" t="e">
        <f ca="1">+_xll.BDP($B14&amp;" Govt",AN$1)</f>
        <v>#NAME?</v>
      </c>
    </row>
    <row r="15" spans="1:40">
      <c r="A15" s="12" t="s">
        <v>219</v>
      </c>
      <c r="B15" s="12" t="s">
        <v>218</v>
      </c>
      <c r="C15" s="12" t="e">
        <f t="shared" ca="1" si="0"/>
        <v>#NAME?</v>
      </c>
      <c r="D15" s="12" t="e">
        <f ca="1">+_xll.BDP($B15&amp;" Govt",D$1)</f>
        <v>#NAME?</v>
      </c>
      <c r="E15" s="17" t="e">
        <f ca="1">+_xll.BDP($B15&amp;" Govt",E$1)</f>
        <v>#NAME?</v>
      </c>
      <c r="F15" s="17" t="s">
        <v>221</v>
      </c>
      <c r="G15" s="17" t="e">
        <f ca="1">+_xll.BDP($B15&amp;" Govt",G$1)</f>
        <v>#NAME?</v>
      </c>
      <c r="H15" s="17" t="e">
        <f ca="1">+_xll.BDP($B15&amp;" Govt",H$1)</f>
        <v>#NAME?</v>
      </c>
      <c r="I15" s="17" t="s">
        <v>187</v>
      </c>
      <c r="J15" s="17" t="e">
        <f ca="1">+_xll.BDP($B15&amp;" Govt",J$1)</f>
        <v>#NAME?</v>
      </c>
      <c r="K15" s="18">
        <v>0</v>
      </c>
      <c r="L15" s="17" t="e">
        <f ca="1">+_xll.BDP($B15&amp;" Govt",L$1)</f>
        <v>#NAME?</v>
      </c>
      <c r="M15" s="17" t="e">
        <f ca="1">+_xll.BDP($B15&amp;" Govt",M$1)</f>
        <v>#NAME?</v>
      </c>
      <c r="N15" s="17" t="e">
        <f ca="1">+_xll.BDP($B15&amp;" Govt",N$1)</f>
        <v>#NAME?</v>
      </c>
      <c r="O15" s="17" t="e">
        <f ca="1">+_xll.BDP($B15&amp;" Govt",O$1)</f>
        <v>#NAME?</v>
      </c>
      <c r="P15" s="17" t="e">
        <f ca="1">+_xll.BDP($B15&amp;" Govt",P$1)</f>
        <v>#NAME?</v>
      </c>
      <c r="Q15" s="17" t="e">
        <f ca="1">+_xll.BDP($B15&amp;" Govt",Q$1)</f>
        <v>#NAME?</v>
      </c>
      <c r="R15" s="17" t="e">
        <f ca="1">+_xll.BDP($B15&amp;" Govt",R$1)</f>
        <v>#NAME?</v>
      </c>
      <c r="S15" s="17" t="e">
        <f ca="1">+_xll.BDP($B15&amp;" Govt",S$1)</f>
        <v>#NAME?</v>
      </c>
      <c r="T15" s="17" t="e">
        <f ca="1">+_xll.BDP($B15&amp;" Govt",T$1)</f>
        <v>#NAME?</v>
      </c>
      <c r="U15" s="17" t="e">
        <f ca="1">+_xll.BDP($B15&amp;" Govt",U$1)</f>
        <v>#NAME?</v>
      </c>
      <c r="V15" s="17" t="e">
        <f ca="1">+_xll.BDP($B15&amp;" Govt",V$1)</f>
        <v>#NAME?</v>
      </c>
      <c r="W15" s="17" t="e">
        <f ca="1">+_xll.BDP($B15&amp;" Govt",W$1)</f>
        <v>#NAME?</v>
      </c>
      <c r="X15" s="17" t="e">
        <f ca="1">+_xll.BDP($B15&amp;" Govt",X$1)</f>
        <v>#NAME?</v>
      </c>
      <c r="Y15" s="17" t="e">
        <f ca="1">+_xll.BDP($B15&amp;" Govt",Y$1)</f>
        <v>#NAME?</v>
      </c>
      <c r="Z15" s="17" t="e">
        <f ca="1">+_xll.BDP($B15&amp;" Govt",Z$1)</f>
        <v>#NAME?</v>
      </c>
      <c r="AA15" s="17" t="e">
        <f ca="1">+_xll.BDP($B15&amp;" Govt",AA$1)</f>
        <v>#NAME?</v>
      </c>
      <c r="AB15" s="17" t="e">
        <f ca="1">+_xll.BDP($B15&amp;" Govt",AB$1)</f>
        <v>#NAME?</v>
      </c>
      <c r="AC15" s="17" t="e">
        <f ca="1">+_xll.BDP($B15&amp;" Govt",AC$1)</f>
        <v>#NAME?</v>
      </c>
      <c r="AD15" s="17" t="e">
        <f ca="1">+_xll.BDP($B15&amp;" Govt",AD$1)</f>
        <v>#NAME?</v>
      </c>
      <c r="AE15" s="17" t="e">
        <f ca="1">+_xll.BDP($B15&amp;" Govt",AE$1)</f>
        <v>#NAME?</v>
      </c>
      <c r="AF15" s="17" t="e">
        <f ca="1">+_xll.BDP($B15&amp;" Govt",AF$1)</f>
        <v>#NAME?</v>
      </c>
      <c r="AG15" s="70" t="e">
        <f ca="1">+_xll.BDP($B15&amp;" Govt",AG$1)</f>
        <v>#NAME?</v>
      </c>
      <c r="AH15" s="70" t="e">
        <f ca="1">+_xll.BDP($B15&amp;" Govt",AH$1)</f>
        <v>#NAME?</v>
      </c>
      <c r="AI15" s="17" t="e">
        <f ca="1">+_xll.BDP($B15&amp;" Govt",AI$1)</f>
        <v>#NAME?</v>
      </c>
      <c r="AJ15" s="17" t="e">
        <f ca="1">+_xll.BDP($B15&amp;" Govt",AJ$1)</f>
        <v>#NAME?</v>
      </c>
      <c r="AK15" s="17" t="e">
        <f ca="1">+_xll.BDP($B15&amp;" Govt",AK$1)</f>
        <v>#NAME?</v>
      </c>
      <c r="AL15" s="17" t="e">
        <f ca="1">+_xll.BDP($B15&amp;" Govt",AL$1)</f>
        <v>#NAME?</v>
      </c>
      <c r="AM15" s="17" t="e">
        <f ca="1">+_xll.BDP($B15&amp;" Govt",AM$1)</f>
        <v>#NAME?</v>
      </c>
      <c r="AN15" s="17" t="e">
        <f ca="1">+_xll.BDP($B15&amp;" Govt",AN$1)</f>
        <v>#NAME?</v>
      </c>
    </row>
    <row r="16" spans="1:40">
      <c r="A16" s="12" t="s">
        <v>227</v>
      </c>
      <c r="B16" s="12" t="s">
        <v>226</v>
      </c>
      <c r="C16" s="12" t="e">
        <f t="shared" ca="1" si="0"/>
        <v>#NAME?</v>
      </c>
      <c r="D16" s="12" t="e">
        <f ca="1">+_xll.BDP($B16&amp;" Govt",D$1)</f>
        <v>#NAME?</v>
      </c>
      <c r="E16" s="17" t="e">
        <f ca="1">+_xll.BDP($B16&amp;" Govt",E$1)</f>
        <v>#NAME?</v>
      </c>
      <c r="F16" s="17" t="s">
        <v>221</v>
      </c>
      <c r="G16" s="17" t="e">
        <f ca="1">+_xll.BDP($B16&amp;" Govt",G$1)</f>
        <v>#NAME?</v>
      </c>
      <c r="H16" s="17" t="e">
        <f ca="1">+_xll.BDP($B16&amp;" Govt",H$1)</f>
        <v>#NAME?</v>
      </c>
      <c r="I16" s="17" t="s">
        <v>187</v>
      </c>
      <c r="J16" s="17" t="e">
        <f ca="1">+_xll.BDP($B16&amp;" Govt",J$1)</f>
        <v>#NAME?</v>
      </c>
      <c r="K16" s="18">
        <v>0</v>
      </c>
      <c r="L16" s="17" t="e">
        <f ca="1">+_xll.BDP($B16&amp;" Govt",L$1)</f>
        <v>#NAME?</v>
      </c>
      <c r="M16" s="17" t="e">
        <f ca="1">+_xll.BDP($B16&amp;" Govt",M$1)</f>
        <v>#NAME?</v>
      </c>
      <c r="N16" s="17" t="e">
        <f ca="1">+_xll.BDP($B16&amp;" Govt",N$1)</f>
        <v>#NAME?</v>
      </c>
      <c r="O16" s="17" t="e">
        <f ca="1">+_xll.BDP($B16&amp;" Govt",O$1)</f>
        <v>#NAME?</v>
      </c>
      <c r="P16" s="17" t="e">
        <f ca="1">+_xll.BDP($B16&amp;" Govt",P$1)</f>
        <v>#NAME?</v>
      </c>
      <c r="Q16" s="17" t="e">
        <f ca="1">+_xll.BDP($B16&amp;" Govt",Q$1)</f>
        <v>#NAME?</v>
      </c>
      <c r="R16" s="17" t="e">
        <f ca="1">+_xll.BDP($B16&amp;" Govt",R$1)</f>
        <v>#NAME?</v>
      </c>
      <c r="S16" s="17" t="e">
        <f ca="1">+_xll.BDP($B16&amp;" Govt",S$1)</f>
        <v>#NAME?</v>
      </c>
      <c r="T16" s="17" t="e">
        <f ca="1">+_xll.BDP($B16&amp;" Govt",T$1)</f>
        <v>#NAME?</v>
      </c>
      <c r="U16" s="17" t="e">
        <f ca="1">+_xll.BDP($B16&amp;" Govt",U$1)</f>
        <v>#NAME?</v>
      </c>
      <c r="V16" s="17" t="e">
        <f ca="1">+_xll.BDP($B16&amp;" Govt",V$1)</f>
        <v>#NAME?</v>
      </c>
      <c r="W16" s="17" t="e">
        <f ca="1">+_xll.BDP($B16&amp;" Govt",W$1)</f>
        <v>#NAME?</v>
      </c>
      <c r="X16" s="17" t="e">
        <f ca="1">+_xll.BDP($B16&amp;" Govt",X$1)</f>
        <v>#NAME?</v>
      </c>
      <c r="Y16" s="17" t="e">
        <f ca="1">+_xll.BDP($B16&amp;" Govt",Y$1)</f>
        <v>#NAME?</v>
      </c>
      <c r="Z16" s="17" t="e">
        <f ca="1">+_xll.BDP($B16&amp;" Govt",Z$1)</f>
        <v>#NAME?</v>
      </c>
      <c r="AA16" s="17" t="e">
        <f ca="1">+_xll.BDP($B16&amp;" Govt",AA$1)</f>
        <v>#NAME?</v>
      </c>
      <c r="AB16" s="17" t="e">
        <f ca="1">+_xll.BDP($B16&amp;" Govt",AB$1)</f>
        <v>#NAME?</v>
      </c>
      <c r="AC16" s="17" t="e">
        <f ca="1">+_xll.BDP($B16&amp;" Govt",AC$1)</f>
        <v>#NAME?</v>
      </c>
      <c r="AD16" s="17" t="e">
        <f ca="1">+_xll.BDP($B16&amp;" Govt",AD$1)</f>
        <v>#NAME?</v>
      </c>
      <c r="AE16" s="17" t="e">
        <f ca="1">+_xll.BDP($B16&amp;" Govt",AE$1)</f>
        <v>#NAME?</v>
      </c>
      <c r="AF16" s="17" t="e">
        <f ca="1">+_xll.BDP($B16&amp;" Govt",AF$1)</f>
        <v>#NAME?</v>
      </c>
      <c r="AG16" s="70" t="e">
        <f ca="1">+_xll.BDP($B16&amp;" Govt",AG$1)</f>
        <v>#NAME?</v>
      </c>
      <c r="AH16" s="70" t="e">
        <f ca="1">+_xll.BDP($B16&amp;" Govt",AH$1)</f>
        <v>#NAME?</v>
      </c>
      <c r="AI16" s="17" t="e">
        <f ca="1">+_xll.BDP($B16&amp;" Govt",AI$1)</f>
        <v>#NAME?</v>
      </c>
      <c r="AJ16" s="17" t="e">
        <f ca="1">+_xll.BDP($B16&amp;" Govt",AJ$1)</f>
        <v>#NAME?</v>
      </c>
      <c r="AK16" s="17" t="e">
        <f ca="1">+_xll.BDP($B16&amp;" Govt",AK$1)</f>
        <v>#NAME?</v>
      </c>
      <c r="AL16" s="17" t="e">
        <f ca="1">+_xll.BDP($B16&amp;" Govt",AL$1)</f>
        <v>#NAME?</v>
      </c>
      <c r="AM16" s="17" t="e">
        <f ca="1">+_xll.BDP($B16&amp;" Govt",AM$1)</f>
        <v>#NAME?</v>
      </c>
      <c r="AN16" s="17" t="e">
        <f ca="1">+_xll.BDP($B16&amp;" Govt",AN$1)</f>
        <v>#NAME?</v>
      </c>
    </row>
    <row r="17" spans="1:40">
      <c r="A17" s="12" t="s">
        <v>233</v>
      </c>
      <c r="B17" s="12" t="s">
        <v>232</v>
      </c>
      <c r="C17" s="12" t="e">
        <f t="shared" ca="1" si="0"/>
        <v>#NAME?</v>
      </c>
      <c r="D17" s="12" t="e">
        <f ca="1">+_xll.BDP($B17&amp;" Govt",D$1)</f>
        <v>#NAME?</v>
      </c>
      <c r="E17" s="17" t="e">
        <f ca="1">+_xll.BDP($B17&amp;" Govt",E$1)</f>
        <v>#NAME?</v>
      </c>
      <c r="F17" s="17" t="s">
        <v>235</v>
      </c>
      <c r="G17" s="17" t="e">
        <f ca="1">+_xll.BDP($B17&amp;" Govt",G$1)</f>
        <v>#NAME?</v>
      </c>
      <c r="H17" s="17" t="e">
        <f ca="1">+_xll.BDP($B17&amp;" Govt",H$1)</f>
        <v>#NAME?</v>
      </c>
      <c r="I17" s="17" t="s">
        <v>187</v>
      </c>
      <c r="J17" s="17" t="e">
        <f ca="1">+_xll.BDP($B17&amp;" Govt",J$1)</f>
        <v>#NAME?</v>
      </c>
      <c r="K17" s="18">
        <v>1</v>
      </c>
      <c r="L17" s="17" t="e">
        <f ca="1">+_xll.BDP($B17&amp;" Govt",L$1)</f>
        <v>#NAME?</v>
      </c>
      <c r="M17" s="17" t="e">
        <f ca="1">+_xll.BDP($B17&amp;" Govt",M$1)</f>
        <v>#NAME?</v>
      </c>
      <c r="N17" s="17" t="e">
        <f ca="1">+_xll.BDP($B17&amp;" Govt",N$1)</f>
        <v>#NAME?</v>
      </c>
      <c r="O17" s="17" t="e">
        <f ca="1">+_xll.BDP($B17&amp;" Govt",O$1)</f>
        <v>#NAME?</v>
      </c>
      <c r="P17" s="17" t="e">
        <f ca="1">+_xll.BDP($B17&amp;" Govt",P$1)</f>
        <v>#NAME?</v>
      </c>
      <c r="Q17" s="17" t="e">
        <f ca="1">+_xll.BDP($B17&amp;" Govt",Q$1)</f>
        <v>#NAME?</v>
      </c>
      <c r="R17" s="17" t="e">
        <f ca="1">+_xll.BDP($B17&amp;" Govt",R$1)</f>
        <v>#NAME?</v>
      </c>
      <c r="S17" s="17" t="e">
        <f ca="1">+_xll.BDP($B17&amp;" Govt",S$1)</f>
        <v>#NAME?</v>
      </c>
      <c r="T17" s="17" t="e">
        <f ca="1">+_xll.BDP($B17&amp;" Govt",T$1)</f>
        <v>#NAME?</v>
      </c>
      <c r="U17" s="17" t="e">
        <f ca="1">+_xll.BDP($B17&amp;" Govt",U$1)</f>
        <v>#NAME?</v>
      </c>
      <c r="V17" s="17" t="e">
        <f ca="1">+_xll.BDP($B17&amp;" Govt",V$1)</f>
        <v>#NAME?</v>
      </c>
      <c r="W17" s="17" t="e">
        <f ca="1">+_xll.BDP($B17&amp;" Govt",W$1)</f>
        <v>#NAME?</v>
      </c>
      <c r="X17" s="17" t="e">
        <f ca="1">+_xll.BDP($B17&amp;" Govt",X$1)</f>
        <v>#NAME?</v>
      </c>
      <c r="Y17" s="17" t="e">
        <f ca="1">+_xll.BDP($B17&amp;" Govt",Y$1)</f>
        <v>#NAME?</v>
      </c>
      <c r="Z17" s="17" t="e">
        <f ca="1">+_xll.BDP($B17&amp;" Govt",Z$1)</f>
        <v>#NAME?</v>
      </c>
      <c r="AA17" s="17" t="e">
        <f ca="1">+_xll.BDP($B17&amp;" Govt",AA$1)</f>
        <v>#NAME?</v>
      </c>
      <c r="AB17" s="17" t="e">
        <f ca="1">+_xll.BDP($B17&amp;" Govt",AB$1)</f>
        <v>#NAME?</v>
      </c>
      <c r="AC17" s="17" t="e">
        <f ca="1">+_xll.BDP($B17&amp;" Govt",AC$1)</f>
        <v>#NAME?</v>
      </c>
      <c r="AD17" s="17" t="e">
        <f ca="1">+_xll.BDP($B17&amp;" Govt",AD$1)</f>
        <v>#NAME?</v>
      </c>
      <c r="AE17" s="17" t="e">
        <f ca="1">+_xll.BDP($B17&amp;" Govt",AE$1)</f>
        <v>#NAME?</v>
      </c>
      <c r="AF17" s="17" t="e">
        <f ca="1">+_xll.BDP($B17&amp;" Govt",AF$1)</f>
        <v>#NAME?</v>
      </c>
      <c r="AG17" s="70" t="e">
        <f ca="1">+_xll.BDP($B17&amp;" Govt",AG$1)</f>
        <v>#NAME?</v>
      </c>
      <c r="AH17" s="70" t="e">
        <f ca="1">+_xll.BDP($B17&amp;" Govt",AH$1)</f>
        <v>#NAME?</v>
      </c>
      <c r="AI17" s="17" t="e">
        <f ca="1">+_xll.BDP($B17&amp;" Govt",AI$1)</f>
        <v>#NAME?</v>
      </c>
      <c r="AJ17" s="17" t="e">
        <f ca="1">+_xll.BDP($B17&amp;" Govt",AJ$1)</f>
        <v>#NAME?</v>
      </c>
      <c r="AK17" s="17" t="e">
        <f ca="1">+_xll.BDP($B17&amp;" Govt",AK$1)</f>
        <v>#NAME?</v>
      </c>
      <c r="AL17" s="17" t="e">
        <f ca="1">+_xll.BDP($B17&amp;" Govt",AL$1)</f>
        <v>#NAME?</v>
      </c>
      <c r="AM17" s="17" t="e">
        <f ca="1">+_xll.BDP($B17&amp;" Govt",AM$1)</f>
        <v>#NAME?</v>
      </c>
      <c r="AN17" s="17" t="e">
        <f ca="1">+_xll.BDP($B17&amp;" Govt",AN$1)</f>
        <v>#NAME?</v>
      </c>
    </row>
    <row r="18" spans="1:40">
      <c r="A18" s="12" t="s">
        <v>242</v>
      </c>
      <c r="B18" s="12" t="s">
        <v>241</v>
      </c>
      <c r="C18" s="12" t="e">
        <f t="shared" ca="1" si="0"/>
        <v>#NAME?</v>
      </c>
      <c r="D18" s="12" t="e">
        <f ca="1">+_xll.BDP($B18&amp;" Govt",D$1)</f>
        <v>#NAME?</v>
      </c>
      <c r="E18" s="17" t="e">
        <f ca="1">+_xll.BDP($B18&amp;" Govt",E$1)</f>
        <v>#NAME?</v>
      </c>
      <c r="F18" s="17" t="s">
        <v>221</v>
      </c>
      <c r="G18" s="17" t="e">
        <f ca="1">+_xll.BDP($B18&amp;" Govt",G$1)</f>
        <v>#NAME?</v>
      </c>
      <c r="H18" s="17" t="e">
        <f ca="1">+_xll.BDP($B18&amp;" Govt",H$1)</f>
        <v>#NAME?</v>
      </c>
      <c r="I18" s="17" t="s">
        <v>187</v>
      </c>
      <c r="J18" s="17" t="e">
        <f ca="1">+_xll.BDP($B18&amp;" Govt",J$1)</f>
        <v>#NAME?</v>
      </c>
      <c r="K18" s="18">
        <v>0</v>
      </c>
      <c r="L18" s="17" t="e">
        <f ca="1">+_xll.BDP($B18&amp;" Govt",L$1)</f>
        <v>#NAME?</v>
      </c>
      <c r="M18" s="17" t="e">
        <f ca="1">+_xll.BDP($B18&amp;" Govt",M$1)</f>
        <v>#NAME?</v>
      </c>
      <c r="N18" s="17" t="e">
        <f ca="1">+_xll.BDP($B18&amp;" Govt",N$1)</f>
        <v>#NAME?</v>
      </c>
      <c r="O18" s="17" t="e">
        <f ca="1">+_xll.BDP($B18&amp;" Govt",O$1)</f>
        <v>#NAME?</v>
      </c>
      <c r="P18" s="17" t="e">
        <f ca="1">+_xll.BDP($B18&amp;" Govt",P$1)</f>
        <v>#NAME?</v>
      </c>
      <c r="Q18" s="17" t="e">
        <f ca="1">+_xll.BDP($B18&amp;" Govt",Q$1)</f>
        <v>#NAME?</v>
      </c>
      <c r="R18" s="17" t="e">
        <f ca="1">+_xll.BDP($B18&amp;" Govt",R$1)</f>
        <v>#NAME?</v>
      </c>
      <c r="S18" s="17" t="e">
        <f ca="1">+_xll.BDP($B18&amp;" Govt",S$1)</f>
        <v>#NAME?</v>
      </c>
      <c r="T18" s="17" t="e">
        <f ca="1">+_xll.BDP($B18&amp;" Govt",T$1)</f>
        <v>#NAME?</v>
      </c>
      <c r="U18" s="17" t="e">
        <f ca="1">+_xll.BDP($B18&amp;" Govt",U$1)</f>
        <v>#NAME?</v>
      </c>
      <c r="V18" s="17" t="e">
        <f ca="1">+_xll.BDP($B18&amp;" Govt",V$1)</f>
        <v>#NAME?</v>
      </c>
      <c r="W18" s="17" t="e">
        <f ca="1">+_xll.BDP($B18&amp;" Govt",W$1)</f>
        <v>#NAME?</v>
      </c>
      <c r="X18" s="17" t="e">
        <f ca="1">+_xll.BDP($B18&amp;" Govt",X$1)</f>
        <v>#NAME?</v>
      </c>
      <c r="Y18" s="17" t="e">
        <f ca="1">+_xll.BDP($B18&amp;" Govt",Y$1)</f>
        <v>#NAME?</v>
      </c>
      <c r="Z18" s="17" t="e">
        <f ca="1">+_xll.BDP($B18&amp;" Govt",Z$1)</f>
        <v>#NAME?</v>
      </c>
      <c r="AA18" s="17" t="e">
        <f ca="1">+_xll.BDP($B18&amp;" Govt",AA$1)</f>
        <v>#NAME?</v>
      </c>
      <c r="AB18" s="17" t="e">
        <f ca="1">+_xll.BDP($B18&amp;" Govt",AB$1)</f>
        <v>#NAME?</v>
      </c>
      <c r="AC18" s="17" t="e">
        <f ca="1">+_xll.BDP($B18&amp;" Govt",AC$1)</f>
        <v>#NAME?</v>
      </c>
      <c r="AD18" s="17" t="e">
        <f ca="1">+_xll.BDP($B18&amp;" Govt",AD$1)</f>
        <v>#NAME?</v>
      </c>
      <c r="AE18" s="17" t="e">
        <f ca="1">+_xll.BDP($B18&amp;" Govt",AE$1)</f>
        <v>#NAME?</v>
      </c>
      <c r="AF18" s="17" t="e">
        <f ca="1">+_xll.BDP($B18&amp;" Govt",AF$1)</f>
        <v>#NAME?</v>
      </c>
      <c r="AG18" s="70" t="e">
        <f ca="1">+_xll.BDP($B18&amp;" Govt",AG$1)</f>
        <v>#NAME?</v>
      </c>
      <c r="AH18" s="70" t="e">
        <f ca="1">+_xll.BDP($B18&amp;" Govt",AH$1)</f>
        <v>#NAME?</v>
      </c>
      <c r="AI18" s="17" t="e">
        <f ca="1">+_xll.BDP($B18&amp;" Govt",AI$1)</f>
        <v>#NAME?</v>
      </c>
      <c r="AJ18" s="17" t="e">
        <f ca="1">+_xll.BDP($B18&amp;" Govt",AJ$1)</f>
        <v>#NAME?</v>
      </c>
      <c r="AK18" s="17" t="e">
        <f ca="1">+_xll.BDP($B18&amp;" Govt",AK$1)</f>
        <v>#NAME?</v>
      </c>
      <c r="AL18" s="17" t="e">
        <f ca="1">+_xll.BDP($B18&amp;" Govt",AL$1)</f>
        <v>#NAME?</v>
      </c>
      <c r="AM18" s="17" t="e">
        <f ca="1">+_xll.BDP($B18&amp;" Govt",AM$1)</f>
        <v>#NAME?</v>
      </c>
      <c r="AN18" s="17" t="e">
        <f ca="1">+_xll.BDP($B18&amp;" Govt",AN$1)</f>
        <v>#NAME?</v>
      </c>
    </row>
    <row r="19" spans="1:40">
      <c r="A19" s="12" t="s">
        <v>247</v>
      </c>
      <c r="B19" s="12" t="s">
        <v>246</v>
      </c>
      <c r="C19" s="12" t="e">
        <f t="shared" ca="1" si="0"/>
        <v>#NAME?</v>
      </c>
      <c r="D19" s="12" t="e">
        <f ca="1">+_xll.BDP($B19&amp;" Govt",D$1)</f>
        <v>#NAME?</v>
      </c>
      <c r="E19" s="17" t="e">
        <f ca="1">+_xll.BDP($B19&amp;" Govt",E$1)</f>
        <v>#NAME?</v>
      </c>
      <c r="F19" s="17" t="s">
        <v>221</v>
      </c>
      <c r="G19" s="17" t="e">
        <f ca="1">+_xll.BDP($B19&amp;" Govt",G$1)</f>
        <v>#NAME?</v>
      </c>
      <c r="H19" s="17" t="e">
        <f ca="1">+_xll.BDP($B19&amp;" Govt",H$1)</f>
        <v>#NAME?</v>
      </c>
      <c r="I19" s="17" t="s">
        <v>187</v>
      </c>
      <c r="J19" s="17" t="e">
        <f ca="1">+_xll.BDP($B19&amp;" Govt",J$1)</f>
        <v>#NAME?</v>
      </c>
      <c r="K19" s="18">
        <v>1</v>
      </c>
      <c r="L19" s="17" t="e">
        <f ca="1">+_xll.BDP($B19&amp;" Govt",L$1)</f>
        <v>#NAME?</v>
      </c>
      <c r="M19" s="17" t="e">
        <f ca="1">+_xll.BDP($B19&amp;" Govt",M$1)</f>
        <v>#NAME?</v>
      </c>
      <c r="N19" s="17" t="e">
        <f ca="1">+_xll.BDP($B19&amp;" Govt",N$1)</f>
        <v>#NAME?</v>
      </c>
      <c r="O19" s="17" t="e">
        <f ca="1">+_xll.BDP($B19&amp;" Govt",O$1)</f>
        <v>#NAME?</v>
      </c>
      <c r="P19" s="17" t="e">
        <f ca="1">+_xll.BDP($B19&amp;" Govt",P$1)</f>
        <v>#NAME?</v>
      </c>
      <c r="Q19" s="17" t="e">
        <f ca="1">+_xll.BDP($B19&amp;" Govt",Q$1)</f>
        <v>#NAME?</v>
      </c>
      <c r="R19" s="17" t="e">
        <f ca="1">+_xll.BDP($B19&amp;" Govt",R$1)</f>
        <v>#NAME?</v>
      </c>
      <c r="S19" s="17" t="e">
        <f ca="1">+_xll.BDP($B19&amp;" Govt",S$1)</f>
        <v>#NAME?</v>
      </c>
      <c r="T19" s="17" t="e">
        <f ca="1">+_xll.BDP($B19&amp;" Govt",T$1)</f>
        <v>#NAME?</v>
      </c>
      <c r="U19" s="17" t="e">
        <f ca="1">+_xll.BDP($B19&amp;" Govt",U$1)</f>
        <v>#NAME?</v>
      </c>
      <c r="V19" s="17" t="e">
        <f ca="1">+_xll.BDP($B19&amp;" Govt",V$1)</f>
        <v>#NAME?</v>
      </c>
      <c r="W19" s="17" t="e">
        <f ca="1">+_xll.BDP($B19&amp;" Govt",W$1)</f>
        <v>#NAME?</v>
      </c>
      <c r="X19" s="17" t="e">
        <f ca="1">+_xll.BDP($B19&amp;" Govt",X$1)</f>
        <v>#NAME?</v>
      </c>
      <c r="Y19" s="17" t="e">
        <f ca="1">+_xll.BDP($B19&amp;" Govt",Y$1)</f>
        <v>#NAME?</v>
      </c>
      <c r="Z19" s="17" t="e">
        <f ca="1">+_xll.BDP($B19&amp;" Govt",Z$1)</f>
        <v>#NAME?</v>
      </c>
      <c r="AA19" s="17" t="e">
        <f ca="1">+_xll.BDP($B19&amp;" Govt",AA$1)</f>
        <v>#NAME?</v>
      </c>
      <c r="AB19" s="17" t="e">
        <f ca="1">+_xll.BDP($B19&amp;" Govt",AB$1)</f>
        <v>#NAME?</v>
      </c>
      <c r="AC19" s="17" t="e">
        <f ca="1">+_xll.BDP($B19&amp;" Govt",AC$1)</f>
        <v>#NAME?</v>
      </c>
      <c r="AD19" s="17" t="e">
        <f ca="1">+_xll.BDP($B19&amp;" Govt",AD$1)</f>
        <v>#NAME?</v>
      </c>
      <c r="AE19" s="17" t="e">
        <f ca="1">+_xll.BDP($B19&amp;" Govt",AE$1)</f>
        <v>#NAME?</v>
      </c>
      <c r="AF19" s="17" t="e">
        <f ca="1">+_xll.BDP($B19&amp;" Govt",AF$1)</f>
        <v>#NAME?</v>
      </c>
      <c r="AG19" s="70" t="e">
        <f ca="1">+_xll.BDP($B19&amp;" Govt",AG$1)</f>
        <v>#NAME?</v>
      </c>
      <c r="AH19" s="70" t="e">
        <f ca="1">+_xll.BDP($B19&amp;" Govt",AH$1)</f>
        <v>#NAME?</v>
      </c>
      <c r="AI19" s="17" t="e">
        <f ca="1">+_xll.BDP($B19&amp;" Govt",AI$1)</f>
        <v>#NAME?</v>
      </c>
      <c r="AJ19" s="17" t="e">
        <f ca="1">+_xll.BDP($B19&amp;" Govt",AJ$1)</f>
        <v>#NAME?</v>
      </c>
      <c r="AK19" s="17" t="e">
        <f ca="1">+_xll.BDP($B19&amp;" Govt",AK$1)</f>
        <v>#NAME?</v>
      </c>
      <c r="AL19" s="17" t="e">
        <f ca="1">+_xll.BDP($B19&amp;" Govt",AL$1)</f>
        <v>#NAME?</v>
      </c>
      <c r="AM19" s="17" t="e">
        <f ca="1">+_xll.BDP($B19&amp;" Govt",AM$1)</f>
        <v>#NAME?</v>
      </c>
      <c r="AN19" s="17" t="e">
        <f ca="1">+_xll.BDP($B19&amp;" Govt",AN$1)</f>
        <v>#NAME?</v>
      </c>
    </row>
    <row r="20" spans="1:40">
      <c r="A20" s="12" t="s">
        <v>252</v>
      </c>
      <c r="B20" s="12" t="s">
        <v>251</v>
      </c>
      <c r="C20" s="12" t="e">
        <f t="shared" ca="1" si="0"/>
        <v>#NAME?</v>
      </c>
      <c r="D20" s="12" t="e">
        <f ca="1">+_xll.BDP($B20&amp;" Govt",D$1)</f>
        <v>#NAME?</v>
      </c>
      <c r="E20" s="17" t="e">
        <f ca="1">+_xll.BDP($B20&amp;" Govt",E$1)</f>
        <v>#NAME?</v>
      </c>
      <c r="F20" s="17" t="s">
        <v>221</v>
      </c>
      <c r="G20" s="17" t="e">
        <f ca="1">+_xll.BDP($B20&amp;" Govt",G$1)</f>
        <v>#NAME?</v>
      </c>
      <c r="H20" s="17" t="e">
        <f ca="1">+_xll.BDP($B20&amp;" Govt",H$1)</f>
        <v>#NAME?</v>
      </c>
      <c r="I20" s="17" t="s">
        <v>187</v>
      </c>
      <c r="J20" s="17" t="e">
        <f ca="1">+_xll.BDP($B20&amp;" Govt",J$1)</f>
        <v>#NAME?</v>
      </c>
      <c r="K20" s="18">
        <v>0</v>
      </c>
      <c r="L20" s="17" t="e">
        <f ca="1">+_xll.BDP($B20&amp;" Govt",L$1)</f>
        <v>#NAME?</v>
      </c>
      <c r="M20" s="17" t="e">
        <f ca="1">+_xll.BDP($B20&amp;" Govt",M$1)</f>
        <v>#NAME?</v>
      </c>
      <c r="N20" s="17" t="e">
        <f ca="1">+_xll.BDP($B20&amp;" Govt",N$1)</f>
        <v>#NAME?</v>
      </c>
      <c r="O20" s="17" t="e">
        <f ca="1">+_xll.BDP($B20&amp;" Govt",O$1)</f>
        <v>#NAME?</v>
      </c>
      <c r="P20" s="17" t="e">
        <f ca="1">+_xll.BDP($B20&amp;" Govt",P$1)</f>
        <v>#NAME?</v>
      </c>
      <c r="Q20" s="17" t="e">
        <f ca="1">+_xll.BDP($B20&amp;" Govt",Q$1)</f>
        <v>#NAME?</v>
      </c>
      <c r="R20" s="17" t="e">
        <f ca="1">+_xll.BDP($B20&amp;" Govt",R$1)</f>
        <v>#NAME?</v>
      </c>
      <c r="S20" s="17" t="e">
        <f ca="1">+_xll.BDP($B20&amp;" Govt",S$1)</f>
        <v>#NAME?</v>
      </c>
      <c r="T20" s="17" t="e">
        <f ca="1">+_xll.BDP($B20&amp;" Govt",T$1)</f>
        <v>#NAME?</v>
      </c>
      <c r="U20" s="17" t="e">
        <f ca="1">+_xll.BDP($B20&amp;" Govt",U$1)</f>
        <v>#NAME?</v>
      </c>
      <c r="V20" s="17" t="e">
        <f ca="1">+_xll.BDP($B20&amp;" Govt",V$1)</f>
        <v>#NAME?</v>
      </c>
      <c r="W20" s="17" t="e">
        <f ca="1">+_xll.BDP($B20&amp;" Govt",W$1)</f>
        <v>#NAME?</v>
      </c>
      <c r="X20" s="17" t="e">
        <f ca="1">+_xll.BDP($B20&amp;" Govt",X$1)</f>
        <v>#NAME?</v>
      </c>
      <c r="Y20" s="17" t="e">
        <f ca="1">+_xll.BDP($B20&amp;" Govt",Y$1)</f>
        <v>#NAME?</v>
      </c>
      <c r="Z20" s="17" t="e">
        <f ca="1">+_xll.BDP($B20&amp;" Govt",Z$1)</f>
        <v>#NAME?</v>
      </c>
      <c r="AA20" s="17" t="e">
        <f ca="1">+_xll.BDP($B20&amp;" Govt",AA$1)</f>
        <v>#NAME?</v>
      </c>
      <c r="AB20" s="17" t="e">
        <f ca="1">+_xll.BDP($B20&amp;" Govt",AB$1)</f>
        <v>#NAME?</v>
      </c>
      <c r="AC20" s="17" t="e">
        <f ca="1">+_xll.BDP($B20&amp;" Govt",AC$1)</f>
        <v>#NAME?</v>
      </c>
      <c r="AD20" s="17" t="e">
        <f ca="1">+_xll.BDP($B20&amp;" Govt",AD$1)</f>
        <v>#NAME?</v>
      </c>
      <c r="AE20" s="17" t="e">
        <f ca="1">+_xll.BDP($B20&amp;" Govt",AE$1)</f>
        <v>#NAME?</v>
      </c>
      <c r="AF20" s="17" t="e">
        <f ca="1">+_xll.BDP($B20&amp;" Govt",AF$1)</f>
        <v>#NAME?</v>
      </c>
      <c r="AG20" s="70" t="e">
        <f ca="1">+_xll.BDP($B20&amp;" Govt",AG$1)</f>
        <v>#NAME?</v>
      </c>
      <c r="AH20" s="70" t="e">
        <f ca="1">+_xll.BDP($B20&amp;" Govt",AH$1)</f>
        <v>#NAME?</v>
      </c>
      <c r="AI20" s="17" t="e">
        <f ca="1">+_xll.BDP($B20&amp;" Govt",AI$1)</f>
        <v>#NAME?</v>
      </c>
      <c r="AJ20" s="17" t="e">
        <f ca="1">+_xll.BDP($B20&amp;" Govt",AJ$1)</f>
        <v>#NAME?</v>
      </c>
      <c r="AK20" s="17" t="e">
        <f ca="1">+_xll.BDP($B20&amp;" Govt",AK$1)</f>
        <v>#NAME?</v>
      </c>
      <c r="AL20" s="17" t="e">
        <f ca="1">+_xll.BDP($B20&amp;" Govt",AL$1)</f>
        <v>#NAME?</v>
      </c>
      <c r="AM20" s="17" t="e">
        <f ca="1">+_xll.BDP($B20&amp;" Govt",AM$1)</f>
        <v>#NAME?</v>
      </c>
      <c r="AN20" s="17" t="e">
        <f ca="1">+_xll.BDP($B20&amp;" Govt",AN$1)</f>
        <v>#NAME?</v>
      </c>
    </row>
    <row r="21" spans="1:40">
      <c r="A21" s="12" t="s">
        <v>258</v>
      </c>
      <c r="B21" s="12" t="s">
        <v>257</v>
      </c>
      <c r="C21" s="12" t="e">
        <f t="shared" ca="1" si="0"/>
        <v>#NAME?</v>
      </c>
      <c r="D21" s="12" t="e">
        <f ca="1">+_xll.BDP($B21&amp;" Govt",D$1)</f>
        <v>#NAME?</v>
      </c>
      <c r="E21" s="17" t="e">
        <f ca="1">+_xll.BDP($B21&amp;" Govt",E$1)</f>
        <v>#NAME?</v>
      </c>
      <c r="F21" s="17" t="s">
        <v>221</v>
      </c>
      <c r="G21" s="17" t="e">
        <f ca="1">+_xll.BDP($B21&amp;" Govt",G$1)</f>
        <v>#NAME?</v>
      </c>
      <c r="H21" s="17" t="e">
        <f ca="1">+_xll.BDP($B21&amp;" Govt",H$1)</f>
        <v>#NAME?</v>
      </c>
      <c r="I21" s="17" t="s">
        <v>187</v>
      </c>
      <c r="J21" s="17" t="e">
        <f ca="1">+_xll.BDP($B21&amp;" Govt",J$1)</f>
        <v>#NAME?</v>
      </c>
      <c r="K21" s="18">
        <v>0</v>
      </c>
      <c r="L21" s="17" t="e">
        <f ca="1">+_xll.BDP($B21&amp;" Govt",L$1)</f>
        <v>#NAME?</v>
      </c>
      <c r="M21" s="17" t="e">
        <f ca="1">+_xll.BDP($B21&amp;" Govt",M$1)</f>
        <v>#NAME?</v>
      </c>
      <c r="N21" s="17" t="e">
        <f ca="1">+_xll.BDP($B21&amp;" Govt",N$1)</f>
        <v>#NAME?</v>
      </c>
      <c r="O21" s="17" t="e">
        <f ca="1">+_xll.BDP($B21&amp;" Govt",O$1)</f>
        <v>#NAME?</v>
      </c>
      <c r="P21" s="17" t="e">
        <f ca="1">+_xll.BDP($B21&amp;" Govt",P$1)</f>
        <v>#NAME?</v>
      </c>
      <c r="Q21" s="17" t="e">
        <f ca="1">+_xll.BDP($B21&amp;" Govt",Q$1)</f>
        <v>#NAME?</v>
      </c>
      <c r="R21" s="17" t="e">
        <f ca="1">+_xll.BDP($B21&amp;" Govt",R$1)</f>
        <v>#NAME?</v>
      </c>
      <c r="S21" s="17" t="e">
        <f ca="1">+_xll.BDP($B21&amp;" Govt",S$1)</f>
        <v>#NAME?</v>
      </c>
      <c r="T21" s="17" t="e">
        <f ca="1">+_xll.BDP($B21&amp;" Govt",T$1)</f>
        <v>#NAME?</v>
      </c>
      <c r="U21" s="17" t="e">
        <f ca="1">+_xll.BDP($B21&amp;" Govt",U$1)</f>
        <v>#NAME?</v>
      </c>
      <c r="V21" s="17" t="e">
        <f ca="1">+_xll.BDP($B21&amp;" Govt",V$1)</f>
        <v>#NAME?</v>
      </c>
      <c r="W21" s="17" t="e">
        <f ca="1">+_xll.BDP($B21&amp;" Govt",W$1)</f>
        <v>#NAME?</v>
      </c>
      <c r="X21" s="17" t="e">
        <f ca="1">+_xll.BDP($B21&amp;" Govt",X$1)</f>
        <v>#NAME?</v>
      </c>
      <c r="Y21" s="17" t="e">
        <f ca="1">+_xll.BDP($B21&amp;" Govt",Y$1)</f>
        <v>#NAME?</v>
      </c>
      <c r="Z21" s="17" t="e">
        <f ca="1">+_xll.BDP($B21&amp;" Govt",Z$1)</f>
        <v>#NAME?</v>
      </c>
      <c r="AA21" s="17" t="e">
        <f ca="1">+_xll.BDP($B21&amp;" Govt",AA$1)</f>
        <v>#NAME?</v>
      </c>
      <c r="AB21" s="17" t="e">
        <f ca="1">+_xll.BDP($B21&amp;" Govt",AB$1)</f>
        <v>#NAME?</v>
      </c>
      <c r="AC21" s="17" t="e">
        <f ca="1">+_xll.BDP($B21&amp;" Govt",AC$1)</f>
        <v>#NAME?</v>
      </c>
      <c r="AD21" s="17" t="e">
        <f ca="1">+_xll.BDP($B21&amp;" Govt",AD$1)</f>
        <v>#NAME?</v>
      </c>
      <c r="AE21" s="17" t="e">
        <f ca="1">+_xll.BDP($B21&amp;" Govt",AE$1)</f>
        <v>#NAME?</v>
      </c>
      <c r="AF21" s="17" t="e">
        <f ca="1">+_xll.BDP($B21&amp;" Govt",AF$1)</f>
        <v>#NAME?</v>
      </c>
      <c r="AG21" s="70" t="e">
        <f ca="1">+_xll.BDP($B21&amp;" Govt",AG$1)</f>
        <v>#NAME?</v>
      </c>
      <c r="AH21" s="70" t="e">
        <f ca="1">+_xll.BDP($B21&amp;" Govt",AH$1)</f>
        <v>#NAME?</v>
      </c>
      <c r="AI21" s="17" t="e">
        <f ca="1">+_xll.BDP($B21&amp;" Govt",AI$1)</f>
        <v>#NAME?</v>
      </c>
      <c r="AJ21" s="17" t="e">
        <f ca="1">+_xll.BDP($B21&amp;" Govt",AJ$1)</f>
        <v>#NAME?</v>
      </c>
      <c r="AK21" s="17" t="e">
        <f ca="1">+_xll.BDP($B21&amp;" Govt",AK$1)</f>
        <v>#NAME?</v>
      </c>
      <c r="AL21" s="17" t="e">
        <f ca="1">+_xll.BDP($B21&amp;" Govt",AL$1)</f>
        <v>#NAME?</v>
      </c>
      <c r="AM21" s="17" t="e">
        <f ca="1">+_xll.BDP($B21&amp;" Govt",AM$1)</f>
        <v>#NAME?</v>
      </c>
      <c r="AN21" s="17" t="e">
        <f ca="1">+_xll.BDP($B21&amp;" Govt",AN$1)</f>
        <v>#NAME?</v>
      </c>
    </row>
    <row r="22" spans="1:40">
      <c r="A22" s="12" t="s">
        <v>263</v>
      </c>
      <c r="B22" s="12" t="s">
        <v>262</v>
      </c>
      <c r="C22" s="12" t="e">
        <f t="shared" ca="1" si="0"/>
        <v>#NAME?</v>
      </c>
      <c r="D22" s="12" t="e">
        <f ca="1">+_xll.BDP($B22&amp;" Govt",D$1)</f>
        <v>#NAME?</v>
      </c>
      <c r="E22" s="17" t="e">
        <f ca="1">+_xll.BDP($B22&amp;" Govt",E$1)</f>
        <v>#NAME?</v>
      </c>
      <c r="F22" s="17" t="s">
        <v>221</v>
      </c>
      <c r="G22" s="17" t="e">
        <f ca="1">+_xll.BDP($B22&amp;" Govt",G$1)</f>
        <v>#NAME?</v>
      </c>
      <c r="H22" s="17" t="e">
        <f ca="1">+_xll.BDP($B22&amp;" Govt",H$1)</f>
        <v>#NAME?</v>
      </c>
      <c r="I22" s="17" t="s">
        <v>187</v>
      </c>
      <c r="J22" s="17" t="e">
        <f ca="1">+_xll.BDP($B22&amp;" Govt",J$1)</f>
        <v>#NAME?</v>
      </c>
      <c r="K22" s="18">
        <v>0</v>
      </c>
      <c r="L22" s="17" t="e">
        <f ca="1">+_xll.BDP($B22&amp;" Govt",L$1)</f>
        <v>#NAME?</v>
      </c>
      <c r="M22" s="17" t="e">
        <f ca="1">+_xll.BDP($B22&amp;" Govt",M$1)</f>
        <v>#NAME?</v>
      </c>
      <c r="N22" s="17" t="e">
        <f ca="1">+_xll.BDP($B22&amp;" Govt",N$1)</f>
        <v>#NAME?</v>
      </c>
      <c r="O22" s="17" t="e">
        <f ca="1">+_xll.BDP($B22&amp;" Govt",O$1)</f>
        <v>#NAME?</v>
      </c>
      <c r="P22" s="17" t="e">
        <f ca="1">+_xll.BDP($B22&amp;" Govt",P$1)</f>
        <v>#NAME?</v>
      </c>
      <c r="Q22" s="17" t="e">
        <f ca="1">+_xll.BDP($B22&amp;" Govt",Q$1)</f>
        <v>#NAME?</v>
      </c>
      <c r="R22" s="17" t="e">
        <f ca="1">+_xll.BDP($B22&amp;" Govt",R$1)</f>
        <v>#NAME?</v>
      </c>
      <c r="S22" s="17" t="e">
        <f ca="1">+_xll.BDP($B22&amp;" Govt",S$1)</f>
        <v>#NAME?</v>
      </c>
      <c r="T22" s="17" t="e">
        <f ca="1">+_xll.BDP($B22&amp;" Govt",T$1)</f>
        <v>#NAME?</v>
      </c>
      <c r="U22" s="17" t="e">
        <f ca="1">+_xll.BDP($B22&amp;" Govt",U$1)</f>
        <v>#NAME?</v>
      </c>
      <c r="V22" s="17" t="e">
        <f ca="1">+_xll.BDP($B22&amp;" Govt",V$1)</f>
        <v>#NAME?</v>
      </c>
      <c r="W22" s="17" t="e">
        <f ca="1">+_xll.BDP($B22&amp;" Govt",W$1)</f>
        <v>#NAME?</v>
      </c>
      <c r="X22" s="17" t="e">
        <f ca="1">+_xll.BDP($B22&amp;" Govt",X$1)</f>
        <v>#NAME?</v>
      </c>
      <c r="Y22" s="17" t="e">
        <f ca="1">+_xll.BDP($B22&amp;" Govt",Y$1)</f>
        <v>#NAME?</v>
      </c>
      <c r="Z22" s="17" t="e">
        <f ca="1">+_xll.BDP($B22&amp;" Govt",Z$1)</f>
        <v>#NAME?</v>
      </c>
      <c r="AA22" s="17" t="e">
        <f ca="1">+_xll.BDP($B22&amp;" Govt",AA$1)</f>
        <v>#NAME?</v>
      </c>
      <c r="AB22" s="17" t="e">
        <f ca="1">+_xll.BDP($B22&amp;" Govt",AB$1)</f>
        <v>#NAME?</v>
      </c>
      <c r="AC22" s="17" t="e">
        <f ca="1">+_xll.BDP($B22&amp;" Govt",AC$1)</f>
        <v>#NAME?</v>
      </c>
      <c r="AD22" s="17" t="e">
        <f ca="1">+_xll.BDP($B22&amp;" Govt",AD$1)</f>
        <v>#NAME?</v>
      </c>
      <c r="AE22" s="17" t="e">
        <f ca="1">+_xll.BDP($B22&amp;" Govt",AE$1)</f>
        <v>#NAME?</v>
      </c>
      <c r="AF22" s="17" t="e">
        <f ca="1">+_xll.BDP($B22&amp;" Govt",AF$1)</f>
        <v>#NAME?</v>
      </c>
      <c r="AG22" s="70" t="e">
        <f ca="1">+_xll.BDP($B22&amp;" Govt",AG$1)</f>
        <v>#NAME?</v>
      </c>
      <c r="AH22" s="70" t="e">
        <f ca="1">+_xll.BDP($B22&amp;" Govt",AH$1)</f>
        <v>#NAME?</v>
      </c>
      <c r="AI22" s="17" t="e">
        <f ca="1">+_xll.BDP($B22&amp;" Govt",AI$1)</f>
        <v>#NAME?</v>
      </c>
      <c r="AJ22" s="17" t="e">
        <f ca="1">+_xll.BDP($B22&amp;" Govt",AJ$1)</f>
        <v>#NAME?</v>
      </c>
      <c r="AK22" s="17" t="e">
        <f ca="1">+_xll.BDP($B22&amp;" Govt",AK$1)</f>
        <v>#NAME?</v>
      </c>
      <c r="AL22" s="17" t="e">
        <f ca="1">+_xll.BDP($B22&amp;" Govt",AL$1)</f>
        <v>#NAME?</v>
      </c>
      <c r="AM22" s="17" t="e">
        <f ca="1">+_xll.BDP($B22&amp;" Govt",AM$1)</f>
        <v>#NAME?</v>
      </c>
      <c r="AN22" s="17" t="e">
        <f ca="1">+_xll.BDP($B22&amp;" Govt",AN$1)</f>
        <v>#NAME?</v>
      </c>
    </row>
    <row r="23" spans="1:40">
      <c r="A23" s="109" t="s">
        <v>384</v>
      </c>
      <c r="B23" s="12" t="s">
        <v>267</v>
      </c>
      <c r="C23" s="12" t="e">
        <f t="shared" ca="1" si="0"/>
        <v>#NAME?</v>
      </c>
      <c r="D23" s="12" t="e">
        <f ca="1">+_xll.BDP($B23&amp;" Govt",D$1)</f>
        <v>#NAME?</v>
      </c>
      <c r="E23" s="17" t="e">
        <f ca="1">+_xll.BDP($B23&amp;" Govt",E$1)</f>
        <v>#NAME?</v>
      </c>
      <c r="F23" s="17" t="s">
        <v>185</v>
      </c>
      <c r="G23" s="17" t="e">
        <f ca="1">+_xll.BDP($B23&amp;" Govt",G$1)</f>
        <v>#NAME?</v>
      </c>
      <c r="H23" s="17" t="e">
        <f ca="1">+_xll.BDP($B23&amp;" Govt",H$1)</f>
        <v>#NAME?</v>
      </c>
      <c r="I23" s="17" t="s">
        <v>269</v>
      </c>
      <c r="J23" s="17" t="e">
        <f ca="1">+_xll.BDP($B23&amp;" Govt",J$1)</f>
        <v>#NAME?</v>
      </c>
      <c r="K23" s="18">
        <v>2</v>
      </c>
      <c r="L23" s="17" t="e">
        <f ca="1">+_xll.BDP($B23&amp;" Govt",L$1)</f>
        <v>#NAME?</v>
      </c>
      <c r="M23" s="17" t="e">
        <f ca="1">+_xll.BDP($B23&amp;" Govt",M$1)</f>
        <v>#NAME?</v>
      </c>
      <c r="N23" s="17" t="e">
        <f ca="1">+_xll.BDP($B23&amp;" Govt",N$1)</f>
        <v>#NAME?</v>
      </c>
      <c r="O23" s="17" t="e">
        <f ca="1">+_xll.BDP($B23&amp;" Govt",O$1)</f>
        <v>#NAME?</v>
      </c>
      <c r="P23" s="17" t="e">
        <f ca="1">+_xll.BDP($B23&amp;" Govt",P$1)</f>
        <v>#NAME?</v>
      </c>
      <c r="Q23" s="17" t="e">
        <f ca="1">+_xll.BDP($B23&amp;" Govt",Q$1)</f>
        <v>#NAME?</v>
      </c>
      <c r="R23" s="17" t="e">
        <f ca="1">+_xll.BDP($B23&amp;" Govt",R$1)</f>
        <v>#NAME?</v>
      </c>
      <c r="S23" s="17" t="e">
        <f ca="1">+_xll.BDP($B23&amp;" Govt",S$1)</f>
        <v>#NAME?</v>
      </c>
      <c r="T23" s="17" t="e">
        <f ca="1">+_xll.BDP($B23&amp;" Govt",T$1)</f>
        <v>#NAME?</v>
      </c>
      <c r="U23" s="17" t="e">
        <f ca="1">+_xll.BDP($B23&amp;" Govt",U$1)</f>
        <v>#NAME?</v>
      </c>
      <c r="V23" s="17" t="e">
        <f ca="1">+_xll.BDP($B23&amp;" Govt",V$1)</f>
        <v>#NAME?</v>
      </c>
      <c r="W23" s="17" t="e">
        <f ca="1">+_xll.BDP($B23&amp;" Govt",W$1)</f>
        <v>#NAME?</v>
      </c>
      <c r="X23" s="17" t="e">
        <f ca="1">+_xll.BDP($B23&amp;" Govt",X$1)</f>
        <v>#NAME?</v>
      </c>
      <c r="Y23" s="17" t="e">
        <f ca="1">+_xll.BDP($B23&amp;" Govt",Y$1)</f>
        <v>#NAME?</v>
      </c>
      <c r="Z23" s="17" t="e">
        <f ca="1">+_xll.BDP($B23&amp;" Govt",Z$1)</f>
        <v>#NAME?</v>
      </c>
      <c r="AA23" s="17" t="e">
        <f ca="1">+_xll.BDP($B23&amp;" Govt",AA$1)</f>
        <v>#NAME?</v>
      </c>
      <c r="AB23" s="17" t="e">
        <f ca="1">+_xll.BDP($B23&amp;" Govt",AB$1)</f>
        <v>#NAME?</v>
      </c>
      <c r="AC23" s="17" t="e">
        <f ca="1">+_xll.BDP($B23&amp;" Govt",AC$1)</f>
        <v>#NAME?</v>
      </c>
      <c r="AD23" s="17" t="e">
        <f ca="1">+_xll.BDP($B23&amp;" Govt",AD$1)</f>
        <v>#NAME?</v>
      </c>
      <c r="AE23" s="17" t="e">
        <f ca="1">+_xll.BDP($B23&amp;" Govt",AE$1)</f>
        <v>#NAME?</v>
      </c>
      <c r="AF23" s="17" t="e">
        <f ca="1">+_xll.BDP($B23&amp;" Govt",AF$1)</f>
        <v>#NAME?</v>
      </c>
      <c r="AG23" s="70" t="e">
        <f ca="1">+_xll.BDP($B23&amp;" Govt",AG$1)</f>
        <v>#NAME?</v>
      </c>
      <c r="AH23" s="70" t="e">
        <f ca="1">+_xll.BDP($B23&amp;" Govt",AH$1)</f>
        <v>#NAME?</v>
      </c>
      <c r="AI23" s="17" t="e">
        <f ca="1">+_xll.BDP($B23&amp;" Govt",AI$1)</f>
        <v>#NAME?</v>
      </c>
      <c r="AJ23" s="17" t="e">
        <f ca="1">+_xll.BDP($B23&amp;" Govt",AJ$1)</f>
        <v>#NAME?</v>
      </c>
      <c r="AK23" s="17" t="e">
        <f ca="1">+_xll.BDP($B23&amp;" Govt",AK$1)</f>
        <v>#NAME?</v>
      </c>
      <c r="AL23" s="17" t="e">
        <f ca="1">+_xll.BDP($B23&amp;" Govt",AL$1)</f>
        <v>#NAME?</v>
      </c>
      <c r="AM23" s="17" t="e">
        <f ca="1">+_xll.BDP($B23&amp;" Govt",AM$1)</f>
        <v>#NAME?</v>
      </c>
      <c r="AN23" s="17" t="e">
        <f ca="1">+_xll.BDP($B23&amp;" Govt",AN$1)</f>
        <v>#NAME?</v>
      </c>
    </row>
    <row r="24" spans="1:40">
      <c r="A24" s="109" t="s">
        <v>379</v>
      </c>
      <c r="B24" s="12" t="s">
        <v>273</v>
      </c>
      <c r="C24" s="12" t="e">
        <f t="shared" ca="1" si="0"/>
        <v>#NAME?</v>
      </c>
      <c r="D24" s="12" t="e">
        <f ca="1">+_xll.BDP($B24&amp;" Govt",D$1)</f>
        <v>#NAME?</v>
      </c>
      <c r="E24" s="17" t="e">
        <f ca="1">+_xll.BDP($B24&amp;" Govt",E$1)</f>
        <v>#NAME?</v>
      </c>
      <c r="F24" s="17" t="s">
        <v>185</v>
      </c>
      <c r="G24" s="17" t="e">
        <f ca="1">+_xll.BDP($B24&amp;" Govt",G$1)</f>
        <v>#NAME?</v>
      </c>
      <c r="H24" s="17" t="e">
        <f ca="1">+_xll.BDP($B24&amp;" Govt",H$1)</f>
        <v>#NAME?</v>
      </c>
      <c r="I24" s="17" t="s">
        <v>269</v>
      </c>
      <c r="J24" s="17" t="e">
        <f ca="1">+_xll.BDP($B24&amp;" Govt",J$1)</f>
        <v>#NAME?</v>
      </c>
      <c r="K24" s="18">
        <v>2</v>
      </c>
      <c r="L24" s="17" t="e">
        <f ca="1">+_xll.BDP($B24&amp;" Govt",L$1)</f>
        <v>#NAME?</v>
      </c>
      <c r="M24" s="17" t="e">
        <f ca="1">+_xll.BDP($B24&amp;" Govt",M$1)</f>
        <v>#NAME?</v>
      </c>
      <c r="N24" s="17" t="e">
        <f ca="1">+_xll.BDP($B24&amp;" Govt",N$1)</f>
        <v>#NAME?</v>
      </c>
      <c r="O24" s="17" t="e">
        <f ca="1">+_xll.BDP($B24&amp;" Govt",O$1)</f>
        <v>#NAME?</v>
      </c>
      <c r="P24" s="17" t="e">
        <f ca="1">+_xll.BDP($B24&amp;" Govt",P$1)</f>
        <v>#NAME?</v>
      </c>
      <c r="Q24" s="17" t="e">
        <f ca="1">+_xll.BDP($B24&amp;" Govt",Q$1)</f>
        <v>#NAME?</v>
      </c>
      <c r="R24" s="17" t="e">
        <f ca="1">+_xll.BDP($B24&amp;" Govt",R$1)</f>
        <v>#NAME?</v>
      </c>
      <c r="S24" s="17" t="e">
        <f ca="1">+_xll.BDP($B24&amp;" Govt",S$1)</f>
        <v>#NAME?</v>
      </c>
      <c r="T24" s="17" t="e">
        <f ca="1">+_xll.BDP($B24&amp;" Govt",T$1)</f>
        <v>#NAME?</v>
      </c>
      <c r="U24" s="17" t="e">
        <f ca="1">+_xll.BDP($B24&amp;" Govt",U$1)</f>
        <v>#NAME?</v>
      </c>
      <c r="V24" s="17" t="e">
        <f ca="1">+_xll.BDP($B24&amp;" Govt",V$1)</f>
        <v>#NAME?</v>
      </c>
      <c r="W24" s="17" t="e">
        <f ca="1">+_xll.BDP($B24&amp;" Govt",W$1)</f>
        <v>#NAME?</v>
      </c>
      <c r="X24" s="17" t="e">
        <f ca="1">+_xll.BDP($B24&amp;" Govt",X$1)</f>
        <v>#NAME?</v>
      </c>
      <c r="Y24" s="17" t="e">
        <f ca="1">+_xll.BDP($B24&amp;" Govt",Y$1)</f>
        <v>#NAME?</v>
      </c>
      <c r="Z24" s="17" t="e">
        <f ca="1">+_xll.BDP($B24&amp;" Govt",Z$1)</f>
        <v>#NAME?</v>
      </c>
      <c r="AA24" s="17" t="e">
        <f ca="1">+_xll.BDP($B24&amp;" Govt",AA$1)</f>
        <v>#NAME?</v>
      </c>
      <c r="AB24" s="17" t="e">
        <f ca="1">+_xll.BDP($B24&amp;" Govt",AB$1)</f>
        <v>#NAME?</v>
      </c>
      <c r="AC24" s="17" t="e">
        <f ca="1">+_xll.BDP($B24&amp;" Govt",AC$1)</f>
        <v>#NAME?</v>
      </c>
      <c r="AD24" s="17" t="e">
        <f ca="1">+_xll.BDP($B24&amp;" Govt",AD$1)</f>
        <v>#NAME?</v>
      </c>
      <c r="AE24" s="17" t="e">
        <f ca="1">+_xll.BDP($B24&amp;" Govt",AE$1)</f>
        <v>#NAME?</v>
      </c>
      <c r="AF24" s="17" t="e">
        <f ca="1">+_xll.BDP($B24&amp;" Govt",AF$1)</f>
        <v>#NAME?</v>
      </c>
      <c r="AG24" s="70" t="e">
        <f ca="1">+_xll.BDP($B24&amp;" Govt",AG$1)</f>
        <v>#NAME?</v>
      </c>
      <c r="AH24" s="70" t="e">
        <f ca="1">+_xll.BDP($B24&amp;" Govt",AH$1)</f>
        <v>#NAME?</v>
      </c>
      <c r="AI24" s="17" t="e">
        <f ca="1">+_xll.BDP($B24&amp;" Govt",AI$1)</f>
        <v>#NAME?</v>
      </c>
      <c r="AJ24" s="17" t="e">
        <f ca="1">+_xll.BDP($B24&amp;" Govt",AJ$1)</f>
        <v>#NAME?</v>
      </c>
      <c r="AK24" s="17" t="e">
        <f ca="1">+_xll.BDP($B24&amp;" Govt",AK$1)</f>
        <v>#NAME?</v>
      </c>
      <c r="AL24" s="17" t="e">
        <f ca="1">+_xll.BDP($B24&amp;" Govt",AL$1)</f>
        <v>#NAME?</v>
      </c>
      <c r="AM24" s="17" t="e">
        <f ca="1">+_xll.BDP($B24&amp;" Govt",AM$1)</f>
        <v>#NAME?</v>
      </c>
      <c r="AN24" s="17" t="e">
        <f ca="1">+_xll.BDP($B24&amp;" Govt",AN$1)</f>
        <v>#NAME?</v>
      </c>
    </row>
    <row r="25" spans="1:40">
      <c r="A25" s="109" t="s">
        <v>380</v>
      </c>
      <c r="B25" s="12" t="s">
        <v>278</v>
      </c>
      <c r="C25" s="12" t="e">
        <f t="shared" ca="1" si="0"/>
        <v>#NAME?</v>
      </c>
      <c r="D25" s="12" t="e">
        <f ca="1">+_xll.BDP($B25&amp;" Govt",D$1)</f>
        <v>#NAME?</v>
      </c>
      <c r="E25" s="17" t="e">
        <f ca="1">+_xll.BDP($B25&amp;" Govt",E$1)</f>
        <v>#NAME?</v>
      </c>
      <c r="F25" s="17" t="s">
        <v>185</v>
      </c>
      <c r="G25" s="17" t="e">
        <f ca="1">+_xll.BDP($B25&amp;" Govt",G$1)</f>
        <v>#NAME?</v>
      </c>
      <c r="H25" s="17" t="e">
        <f ca="1">+_xll.BDP($B25&amp;" Govt",H$1)</f>
        <v>#NAME?</v>
      </c>
      <c r="I25" s="17" t="s">
        <v>269</v>
      </c>
      <c r="J25" s="17" t="e">
        <f ca="1">+_xll.BDP($B25&amp;" Govt",J$1)</f>
        <v>#NAME?</v>
      </c>
      <c r="K25" s="18">
        <v>2</v>
      </c>
      <c r="L25" s="17" t="e">
        <f ca="1">+_xll.BDP($B25&amp;" Govt",L$1)</f>
        <v>#NAME?</v>
      </c>
      <c r="M25" s="17" t="e">
        <f ca="1">+_xll.BDP($B25&amp;" Govt",M$1)</f>
        <v>#NAME?</v>
      </c>
      <c r="N25" s="17" t="e">
        <f ca="1">+_xll.BDP($B25&amp;" Govt",N$1)</f>
        <v>#NAME?</v>
      </c>
      <c r="O25" s="17" t="e">
        <f ca="1">+_xll.BDP($B25&amp;" Govt",O$1)</f>
        <v>#NAME?</v>
      </c>
      <c r="P25" s="17" t="e">
        <f ca="1">+_xll.BDP($B25&amp;" Govt",P$1)</f>
        <v>#NAME?</v>
      </c>
      <c r="Q25" s="17" t="e">
        <f ca="1">+_xll.BDP($B25&amp;" Govt",Q$1)</f>
        <v>#NAME?</v>
      </c>
      <c r="R25" s="17" t="e">
        <f ca="1">+_xll.BDP($B25&amp;" Govt",R$1)</f>
        <v>#NAME?</v>
      </c>
      <c r="S25" s="17" t="e">
        <f ca="1">+_xll.BDP($B25&amp;" Govt",S$1)</f>
        <v>#NAME?</v>
      </c>
      <c r="T25" s="17" t="e">
        <f ca="1">+_xll.BDP($B25&amp;" Govt",T$1)</f>
        <v>#NAME?</v>
      </c>
      <c r="U25" s="17" t="e">
        <f ca="1">+_xll.BDP($B25&amp;" Govt",U$1)</f>
        <v>#NAME?</v>
      </c>
      <c r="V25" s="17" t="e">
        <f ca="1">+_xll.BDP($B25&amp;" Govt",V$1)</f>
        <v>#NAME?</v>
      </c>
      <c r="W25" s="17" t="e">
        <f ca="1">+_xll.BDP($B25&amp;" Govt",W$1)</f>
        <v>#NAME?</v>
      </c>
      <c r="X25" s="17" t="e">
        <f ca="1">+_xll.BDP($B25&amp;" Govt",X$1)</f>
        <v>#NAME?</v>
      </c>
      <c r="Y25" s="17" t="e">
        <f ca="1">+_xll.BDP($B25&amp;" Govt",Y$1)</f>
        <v>#NAME?</v>
      </c>
      <c r="Z25" s="17" t="e">
        <f ca="1">+_xll.BDP($B25&amp;" Govt",Z$1)</f>
        <v>#NAME?</v>
      </c>
      <c r="AA25" s="17" t="e">
        <f ca="1">+_xll.BDP($B25&amp;" Govt",AA$1)</f>
        <v>#NAME?</v>
      </c>
      <c r="AB25" s="17" t="e">
        <f ca="1">+_xll.BDP($B25&amp;" Govt",AB$1)</f>
        <v>#NAME?</v>
      </c>
      <c r="AC25" s="17" t="e">
        <f ca="1">+_xll.BDP($B25&amp;" Govt",AC$1)</f>
        <v>#NAME?</v>
      </c>
      <c r="AD25" s="17" t="e">
        <f ca="1">+_xll.BDP($B25&amp;" Govt",AD$1)</f>
        <v>#NAME?</v>
      </c>
      <c r="AE25" s="17" t="e">
        <f ca="1">+_xll.BDP($B25&amp;" Govt",AE$1)</f>
        <v>#NAME?</v>
      </c>
      <c r="AF25" s="17" t="e">
        <f ca="1">+_xll.BDP($B25&amp;" Govt",AF$1)</f>
        <v>#NAME?</v>
      </c>
      <c r="AG25" s="70" t="e">
        <f ca="1">+_xll.BDP($B25&amp;" Govt",AG$1)</f>
        <v>#NAME?</v>
      </c>
      <c r="AH25" s="70" t="e">
        <f ca="1">+_xll.BDP($B25&amp;" Govt",AH$1)</f>
        <v>#NAME?</v>
      </c>
      <c r="AI25" s="17" t="e">
        <f ca="1">+_xll.BDP($B25&amp;" Govt",AI$1)</f>
        <v>#NAME?</v>
      </c>
      <c r="AJ25" s="17" t="e">
        <f ca="1">+_xll.BDP($B25&amp;" Govt",AJ$1)</f>
        <v>#NAME?</v>
      </c>
      <c r="AK25" s="17" t="e">
        <f ca="1">+_xll.BDP($B25&amp;" Govt",AK$1)</f>
        <v>#NAME?</v>
      </c>
      <c r="AL25" s="17" t="e">
        <f ca="1">+_xll.BDP($B25&amp;" Govt",AL$1)</f>
        <v>#NAME?</v>
      </c>
      <c r="AM25" s="17" t="e">
        <f ca="1">+_xll.BDP($B25&amp;" Govt",AM$1)</f>
        <v>#NAME?</v>
      </c>
      <c r="AN25" s="17" t="e">
        <f ca="1">+_xll.BDP($B25&amp;" Govt",AN$1)</f>
        <v>#NAME?</v>
      </c>
    </row>
    <row r="26" spans="1:40">
      <c r="A26" s="109" t="s">
        <v>381</v>
      </c>
      <c r="B26" s="12" t="s">
        <v>283</v>
      </c>
      <c r="C26" s="12" t="e">
        <f t="shared" ca="1" si="0"/>
        <v>#NAME?</v>
      </c>
      <c r="D26" s="12" t="e">
        <f ca="1">+_xll.BDP($B26&amp;" Govt",D$1)</f>
        <v>#NAME?</v>
      </c>
      <c r="E26" s="17" t="e">
        <f ca="1">+_xll.BDP($B26&amp;" Govt",E$1)</f>
        <v>#NAME?</v>
      </c>
      <c r="F26" s="17" t="s">
        <v>185</v>
      </c>
      <c r="G26" s="17" t="e">
        <f ca="1">+_xll.BDP($B26&amp;" Govt",G$1)</f>
        <v>#NAME?</v>
      </c>
      <c r="H26" s="17" t="e">
        <f ca="1">+_xll.BDP($B26&amp;" Govt",H$1)</f>
        <v>#NAME?</v>
      </c>
      <c r="I26" s="17" t="s">
        <v>269</v>
      </c>
      <c r="J26" s="17" t="e">
        <f ca="1">+_xll.BDP($B26&amp;" Govt",J$1)</f>
        <v>#NAME?</v>
      </c>
      <c r="K26" s="18">
        <v>2</v>
      </c>
      <c r="L26" s="17" t="e">
        <f ca="1">+_xll.BDP($B26&amp;" Govt",L$1)</f>
        <v>#NAME?</v>
      </c>
      <c r="M26" s="17" t="e">
        <f ca="1">+_xll.BDP($B26&amp;" Govt",M$1)</f>
        <v>#NAME?</v>
      </c>
      <c r="N26" s="17" t="e">
        <f ca="1">+_xll.BDP($B26&amp;" Govt",N$1)</f>
        <v>#NAME?</v>
      </c>
      <c r="O26" s="17" t="e">
        <f ca="1">+_xll.BDP($B26&amp;" Govt",O$1)</f>
        <v>#NAME?</v>
      </c>
      <c r="P26" s="17" t="e">
        <f ca="1">+_xll.BDP($B26&amp;" Govt",P$1)</f>
        <v>#NAME?</v>
      </c>
      <c r="Q26" s="17" t="e">
        <f ca="1">+_xll.BDP($B26&amp;" Govt",Q$1)</f>
        <v>#NAME?</v>
      </c>
      <c r="R26" s="17" t="e">
        <f ca="1">+_xll.BDP($B26&amp;" Govt",R$1)</f>
        <v>#NAME?</v>
      </c>
      <c r="S26" s="17" t="e">
        <f ca="1">+_xll.BDP($B26&amp;" Govt",S$1)</f>
        <v>#NAME?</v>
      </c>
      <c r="T26" s="17" t="e">
        <f ca="1">+_xll.BDP($B26&amp;" Govt",T$1)</f>
        <v>#NAME?</v>
      </c>
      <c r="U26" s="17" t="e">
        <f ca="1">+_xll.BDP($B26&amp;" Govt",U$1)</f>
        <v>#NAME?</v>
      </c>
      <c r="V26" s="17" t="e">
        <f ca="1">+_xll.BDP($B26&amp;" Govt",V$1)</f>
        <v>#NAME?</v>
      </c>
      <c r="W26" s="17" t="e">
        <f ca="1">+_xll.BDP($B26&amp;" Govt",W$1)</f>
        <v>#NAME?</v>
      </c>
      <c r="X26" s="17" t="e">
        <f ca="1">+_xll.BDP($B26&amp;" Govt",X$1)</f>
        <v>#NAME?</v>
      </c>
      <c r="Y26" s="17" t="e">
        <f ca="1">+_xll.BDP($B26&amp;" Govt",Y$1)</f>
        <v>#NAME?</v>
      </c>
      <c r="Z26" s="17" t="e">
        <f ca="1">+_xll.BDP($B26&amp;" Govt",Z$1)</f>
        <v>#NAME?</v>
      </c>
      <c r="AA26" s="17" t="e">
        <f ca="1">+_xll.BDP($B26&amp;" Govt",AA$1)</f>
        <v>#NAME?</v>
      </c>
      <c r="AB26" s="17" t="e">
        <f ca="1">+_xll.BDP($B26&amp;" Govt",AB$1)</f>
        <v>#NAME?</v>
      </c>
      <c r="AC26" s="17" t="e">
        <f ca="1">+_xll.BDP($B26&amp;" Govt",AC$1)</f>
        <v>#NAME?</v>
      </c>
      <c r="AD26" s="17" t="e">
        <f ca="1">+_xll.BDP($B26&amp;" Govt",AD$1)</f>
        <v>#NAME?</v>
      </c>
      <c r="AE26" s="17" t="e">
        <f ca="1">+_xll.BDP($B26&amp;" Govt",AE$1)</f>
        <v>#NAME?</v>
      </c>
      <c r="AF26" s="17" t="e">
        <f ca="1">+_xll.BDP($B26&amp;" Govt",AF$1)</f>
        <v>#NAME?</v>
      </c>
      <c r="AG26" s="70" t="e">
        <f ca="1">+_xll.BDP($B26&amp;" Govt",AG$1)</f>
        <v>#NAME?</v>
      </c>
      <c r="AH26" s="70" t="e">
        <f ca="1">+_xll.BDP($B26&amp;" Govt",AH$1)</f>
        <v>#NAME?</v>
      </c>
      <c r="AI26" s="17" t="e">
        <f ca="1">+_xll.BDP($B26&amp;" Govt",AI$1)</f>
        <v>#NAME?</v>
      </c>
      <c r="AJ26" s="17" t="e">
        <f ca="1">+_xll.BDP($B26&amp;" Govt",AJ$1)</f>
        <v>#NAME?</v>
      </c>
      <c r="AK26" s="17" t="e">
        <f ca="1">+_xll.BDP($B26&amp;" Govt",AK$1)</f>
        <v>#NAME?</v>
      </c>
      <c r="AL26" s="17" t="e">
        <f ca="1">+_xll.BDP($B26&amp;" Govt",AL$1)</f>
        <v>#NAME?</v>
      </c>
      <c r="AM26" s="17" t="e">
        <f ca="1">+_xll.BDP($B26&amp;" Govt",AM$1)</f>
        <v>#NAME?</v>
      </c>
      <c r="AN26" s="17" t="e">
        <f ca="1">+_xll.BDP($B26&amp;" Govt",AN$1)</f>
        <v>#NAME?</v>
      </c>
    </row>
    <row r="27" spans="1:40">
      <c r="A27" s="109" t="s">
        <v>382</v>
      </c>
      <c r="B27" s="12" t="s">
        <v>288</v>
      </c>
      <c r="C27" s="12" t="e">
        <f t="shared" ca="1" si="0"/>
        <v>#NAME?</v>
      </c>
      <c r="D27" s="12" t="e">
        <f ca="1">+_xll.BDP($B27&amp;" Govt",D$1)</f>
        <v>#NAME?</v>
      </c>
      <c r="E27" s="17" t="e">
        <f ca="1">+_xll.BDP($B27&amp;" Govt",E$1)</f>
        <v>#NAME?</v>
      </c>
      <c r="F27" s="17" t="s">
        <v>185</v>
      </c>
      <c r="G27" s="17" t="e">
        <f ca="1">+_xll.BDP($B27&amp;" Govt",G$1)</f>
        <v>#NAME?</v>
      </c>
      <c r="H27" s="17" t="e">
        <f ca="1">+_xll.BDP($B27&amp;" Govt",H$1)</f>
        <v>#NAME?</v>
      </c>
      <c r="I27" s="17" t="s">
        <v>269</v>
      </c>
      <c r="J27" s="17" t="e">
        <f ca="1">+_xll.BDP($B27&amp;" Govt",J$1)</f>
        <v>#NAME?</v>
      </c>
      <c r="K27" s="18">
        <v>2</v>
      </c>
      <c r="L27" s="17" t="e">
        <f ca="1">+_xll.BDP($B27&amp;" Govt",L$1)</f>
        <v>#NAME?</v>
      </c>
      <c r="M27" s="17" t="e">
        <f ca="1">+_xll.BDP($B27&amp;" Govt",M$1)</f>
        <v>#NAME?</v>
      </c>
      <c r="N27" s="17" t="e">
        <f ca="1">+_xll.BDP($B27&amp;" Govt",N$1)</f>
        <v>#NAME?</v>
      </c>
      <c r="O27" s="17" t="e">
        <f ca="1">+_xll.BDP($B27&amp;" Govt",O$1)</f>
        <v>#NAME?</v>
      </c>
      <c r="P27" s="17" t="e">
        <f ca="1">+_xll.BDP($B27&amp;" Govt",P$1)</f>
        <v>#NAME?</v>
      </c>
      <c r="Q27" s="17" t="e">
        <f ca="1">+_xll.BDP($B27&amp;" Govt",Q$1)</f>
        <v>#NAME?</v>
      </c>
      <c r="R27" s="17" t="e">
        <f ca="1">+_xll.BDP($B27&amp;" Govt",R$1)</f>
        <v>#NAME?</v>
      </c>
      <c r="S27" s="17" t="e">
        <f ca="1">+_xll.BDP($B27&amp;" Govt",S$1)</f>
        <v>#NAME?</v>
      </c>
      <c r="T27" s="17" t="e">
        <f ca="1">+_xll.BDP($B27&amp;" Govt",T$1)</f>
        <v>#NAME?</v>
      </c>
      <c r="U27" s="17" t="e">
        <f ca="1">+_xll.BDP($B27&amp;" Govt",U$1)</f>
        <v>#NAME?</v>
      </c>
      <c r="V27" s="17" t="e">
        <f ca="1">+_xll.BDP($B27&amp;" Govt",V$1)</f>
        <v>#NAME?</v>
      </c>
      <c r="W27" s="17" t="e">
        <f ca="1">+_xll.BDP($B27&amp;" Govt",W$1)</f>
        <v>#NAME?</v>
      </c>
      <c r="X27" s="17" t="e">
        <f ca="1">+_xll.BDP($B27&amp;" Govt",X$1)</f>
        <v>#NAME?</v>
      </c>
      <c r="Y27" s="17" t="e">
        <f ca="1">+_xll.BDP($B27&amp;" Govt",Y$1)</f>
        <v>#NAME?</v>
      </c>
      <c r="Z27" s="17" t="e">
        <f ca="1">+_xll.BDP($B27&amp;" Govt",Z$1)</f>
        <v>#NAME?</v>
      </c>
      <c r="AA27" s="17" t="e">
        <f ca="1">+_xll.BDP($B27&amp;" Govt",AA$1)</f>
        <v>#NAME?</v>
      </c>
      <c r="AB27" s="17" t="e">
        <f ca="1">+_xll.BDP($B27&amp;" Govt",AB$1)</f>
        <v>#NAME?</v>
      </c>
      <c r="AC27" s="17" t="e">
        <f ca="1">+_xll.BDP($B27&amp;" Govt",AC$1)</f>
        <v>#NAME?</v>
      </c>
      <c r="AD27" s="17" t="e">
        <f ca="1">+_xll.BDP($B27&amp;" Govt",AD$1)</f>
        <v>#NAME?</v>
      </c>
      <c r="AE27" s="17" t="e">
        <f ca="1">+_xll.BDP($B27&amp;" Govt",AE$1)</f>
        <v>#NAME?</v>
      </c>
      <c r="AF27" s="17" t="e">
        <f ca="1">+_xll.BDP($B27&amp;" Govt",AF$1)</f>
        <v>#NAME?</v>
      </c>
      <c r="AG27" s="70" t="e">
        <f ca="1">+_xll.BDP($B27&amp;" Govt",AG$1)</f>
        <v>#NAME?</v>
      </c>
      <c r="AH27" s="70" t="e">
        <f ca="1">+_xll.BDP($B27&amp;" Govt",AH$1)</f>
        <v>#NAME?</v>
      </c>
      <c r="AI27" s="17" t="e">
        <f ca="1">+_xll.BDP($B27&amp;" Govt",AI$1)</f>
        <v>#NAME?</v>
      </c>
      <c r="AJ27" s="17" t="e">
        <f ca="1">+_xll.BDP($B27&amp;" Govt",AJ$1)</f>
        <v>#NAME?</v>
      </c>
      <c r="AK27" s="17" t="e">
        <f ca="1">+_xll.BDP($B27&amp;" Govt",AK$1)</f>
        <v>#NAME?</v>
      </c>
      <c r="AL27" s="17" t="e">
        <f ca="1">+_xll.BDP($B27&amp;" Govt",AL$1)</f>
        <v>#NAME?</v>
      </c>
      <c r="AM27" s="17" t="e">
        <f ca="1">+_xll.BDP($B27&amp;" Govt",AM$1)</f>
        <v>#NAME?</v>
      </c>
      <c r="AN27" s="17" t="e">
        <f ca="1">+_xll.BDP($B27&amp;" Govt",AN$1)</f>
        <v>#NAME?</v>
      </c>
    </row>
    <row r="28" spans="1:40">
      <c r="A28" s="109" t="s">
        <v>383</v>
      </c>
      <c r="B28" s="12" t="s">
        <v>293</v>
      </c>
      <c r="C28" s="12" t="e">
        <f t="shared" ca="1" si="0"/>
        <v>#NAME?</v>
      </c>
      <c r="D28" s="12" t="e">
        <f ca="1">+_xll.BDP($B28&amp;" Govt",D$1)</f>
        <v>#NAME?</v>
      </c>
      <c r="E28" s="17" t="e">
        <f ca="1">+_xll.BDP($B28&amp;" Govt",E$1)</f>
        <v>#NAME?</v>
      </c>
      <c r="F28" s="17" t="s">
        <v>185</v>
      </c>
      <c r="G28" s="17" t="e">
        <f ca="1">+_xll.BDP($B28&amp;" Govt",G$1)</f>
        <v>#NAME?</v>
      </c>
      <c r="H28" s="17" t="e">
        <f ca="1">+_xll.BDP($B28&amp;" Govt",H$1)</f>
        <v>#NAME?</v>
      </c>
      <c r="I28" s="17" t="s">
        <v>269</v>
      </c>
      <c r="J28" s="17" t="e">
        <f ca="1">+_xll.BDP($B28&amp;" Govt",J$1)</f>
        <v>#NAME?</v>
      </c>
      <c r="K28" s="18">
        <v>2</v>
      </c>
      <c r="L28" s="17" t="e">
        <f ca="1">+_xll.BDP($B28&amp;" Govt",L$1)</f>
        <v>#NAME?</v>
      </c>
      <c r="M28" s="17" t="e">
        <f ca="1">+_xll.BDP($B28&amp;" Govt",M$1)</f>
        <v>#NAME?</v>
      </c>
      <c r="N28" s="17" t="e">
        <f ca="1">+_xll.BDP($B28&amp;" Govt",N$1)</f>
        <v>#NAME?</v>
      </c>
      <c r="O28" s="17" t="e">
        <f ca="1">+_xll.BDP($B28&amp;" Govt",O$1)</f>
        <v>#NAME?</v>
      </c>
      <c r="P28" s="17" t="e">
        <f ca="1">+_xll.BDP($B28&amp;" Govt",P$1)</f>
        <v>#NAME?</v>
      </c>
      <c r="Q28" s="17" t="e">
        <f ca="1">+_xll.BDP($B28&amp;" Govt",Q$1)</f>
        <v>#NAME?</v>
      </c>
      <c r="R28" s="17" t="e">
        <f ca="1">+_xll.BDP($B28&amp;" Govt",R$1)</f>
        <v>#NAME?</v>
      </c>
      <c r="S28" s="17" t="e">
        <f ca="1">+_xll.BDP($B28&amp;" Govt",S$1)</f>
        <v>#NAME?</v>
      </c>
      <c r="T28" s="17" t="e">
        <f ca="1">+_xll.BDP($B28&amp;" Govt",T$1)</f>
        <v>#NAME?</v>
      </c>
      <c r="U28" s="17" t="e">
        <f ca="1">+_xll.BDP($B28&amp;" Govt",U$1)</f>
        <v>#NAME?</v>
      </c>
      <c r="V28" s="17" t="e">
        <f ca="1">+_xll.BDP($B28&amp;" Govt",V$1)</f>
        <v>#NAME?</v>
      </c>
      <c r="W28" s="17" t="e">
        <f ca="1">+_xll.BDP($B28&amp;" Govt",W$1)</f>
        <v>#NAME?</v>
      </c>
      <c r="X28" s="17" t="e">
        <f ca="1">+_xll.BDP($B28&amp;" Govt",X$1)</f>
        <v>#NAME?</v>
      </c>
      <c r="Y28" s="17" t="e">
        <f ca="1">+_xll.BDP($B28&amp;" Govt",Y$1)</f>
        <v>#NAME?</v>
      </c>
      <c r="Z28" s="17" t="e">
        <f ca="1">+_xll.BDP($B28&amp;" Govt",Z$1)</f>
        <v>#NAME?</v>
      </c>
      <c r="AA28" s="17" t="e">
        <f ca="1">+_xll.BDP($B28&amp;" Govt",AA$1)</f>
        <v>#NAME?</v>
      </c>
      <c r="AB28" s="17" t="e">
        <f ca="1">+_xll.BDP($B28&amp;" Govt",AB$1)</f>
        <v>#NAME?</v>
      </c>
      <c r="AC28" s="17" t="e">
        <f ca="1">+_xll.BDP($B28&amp;" Govt",AC$1)</f>
        <v>#NAME?</v>
      </c>
      <c r="AD28" s="17" t="e">
        <f ca="1">+_xll.BDP($B28&amp;" Govt",AD$1)</f>
        <v>#NAME?</v>
      </c>
      <c r="AE28" s="17" t="e">
        <f ca="1">+_xll.BDP($B28&amp;" Govt",AE$1)</f>
        <v>#NAME?</v>
      </c>
      <c r="AF28" s="17" t="e">
        <f ca="1">+_xll.BDP($B28&amp;" Govt",AF$1)</f>
        <v>#NAME?</v>
      </c>
      <c r="AG28" s="70" t="e">
        <f ca="1">+_xll.BDP($B28&amp;" Govt",AG$1)</f>
        <v>#NAME?</v>
      </c>
      <c r="AH28" s="70" t="e">
        <f ca="1">+_xll.BDP($B28&amp;" Govt",AH$1)</f>
        <v>#NAME?</v>
      </c>
      <c r="AI28" s="17" t="e">
        <f ca="1">+_xll.BDP($B28&amp;" Govt",AI$1)</f>
        <v>#NAME?</v>
      </c>
      <c r="AJ28" s="17" t="e">
        <f ca="1">+_xll.BDP($B28&amp;" Govt",AJ$1)</f>
        <v>#NAME?</v>
      </c>
      <c r="AK28" s="17" t="e">
        <f ca="1">+_xll.BDP($B28&amp;" Govt",AK$1)</f>
        <v>#NAME?</v>
      </c>
      <c r="AL28" s="17" t="e">
        <f ca="1">+_xll.BDP($B28&amp;" Govt",AL$1)</f>
        <v>#NAME?</v>
      </c>
      <c r="AM28" s="17" t="e">
        <f ca="1">+_xll.BDP($B28&amp;" Govt",AM$1)</f>
        <v>#NAME?</v>
      </c>
      <c r="AN28" s="17" t="e">
        <f ca="1">+_xll.BDP($B28&amp;" Govt",AN$1)</f>
        <v>#NAME?</v>
      </c>
    </row>
    <row r="29" spans="1:40">
      <c r="A29" s="12" t="s">
        <v>558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11">
    <tabColor theme="1"/>
  </sheetPr>
  <dimension ref="A1:E51"/>
  <sheetViews>
    <sheetView workbookViewId="0">
      <selection activeCell="B8" sqref="B8"/>
    </sheetView>
  </sheetViews>
  <sheetFormatPr defaultColWidth="10.84375" defaultRowHeight="14.6"/>
  <cols>
    <col min="1" max="1" width="29.84375" style="6" bestFit="1" customWidth="1"/>
    <col min="2" max="2" width="17.3828125" style="3" bestFit="1" customWidth="1"/>
    <col min="3" max="3" width="12.4609375" style="3" bestFit="1" customWidth="1"/>
    <col min="5" max="5" width="9" bestFit="1" customWidth="1"/>
  </cols>
  <sheetData>
    <row r="1" spans="1:5" s="3" customFormat="1">
      <c r="A1" s="3" t="s">
        <v>65</v>
      </c>
      <c r="B1" s="3" t="s">
        <v>66</v>
      </c>
      <c r="C1" s="3" t="s">
        <v>67</v>
      </c>
      <c r="E1" s="3" t="s">
        <v>103</v>
      </c>
    </row>
    <row r="2" spans="1:5">
      <c r="A2" s="6" t="s">
        <v>23</v>
      </c>
      <c r="B2" s="3" t="s">
        <v>75</v>
      </c>
      <c r="C2" s="3" t="s">
        <v>68</v>
      </c>
      <c r="E2" t="s">
        <v>104</v>
      </c>
    </row>
    <row r="3" spans="1:5">
      <c r="A3" s="6" t="s">
        <v>24</v>
      </c>
      <c r="B3" s="3" t="s">
        <v>76</v>
      </c>
      <c r="C3" s="3" t="s">
        <v>68</v>
      </c>
      <c r="E3" t="s">
        <v>105</v>
      </c>
    </row>
    <row r="4" spans="1:5">
      <c r="A4" s="6" t="s">
        <v>26</v>
      </c>
      <c r="B4" s="3" t="s">
        <v>77</v>
      </c>
      <c r="C4" s="3" t="s">
        <v>68</v>
      </c>
    </row>
    <row r="5" spans="1:5">
      <c r="A5" s="6" t="s">
        <v>27</v>
      </c>
      <c r="B5" s="3" t="s">
        <v>82</v>
      </c>
      <c r="C5" s="3" t="s">
        <v>68</v>
      </c>
    </row>
    <row r="6" spans="1:5">
      <c r="A6" s="6" t="s">
        <v>28</v>
      </c>
      <c r="B6" s="3" t="s">
        <v>84</v>
      </c>
      <c r="C6" s="3" t="s">
        <v>68</v>
      </c>
    </row>
    <row r="7" spans="1:5">
      <c r="A7" s="6" t="s">
        <v>29</v>
      </c>
      <c r="B7" s="3" t="s">
        <v>305</v>
      </c>
      <c r="C7" s="3" t="s">
        <v>68</v>
      </c>
    </row>
    <row r="8" spans="1:5">
      <c r="A8" s="6" t="s">
        <v>25</v>
      </c>
      <c r="B8" s="3" t="s">
        <v>83</v>
      </c>
      <c r="C8" s="3" t="s">
        <v>68</v>
      </c>
    </row>
    <row r="9" spans="1:5">
      <c r="A9" s="6" t="s">
        <v>30</v>
      </c>
      <c r="B9" s="3" t="s">
        <v>30</v>
      </c>
      <c r="C9" s="3" t="s">
        <v>68</v>
      </c>
    </row>
    <row r="10" spans="1:5">
      <c r="A10" s="6" t="s">
        <v>34</v>
      </c>
      <c r="B10" s="3" t="s">
        <v>78</v>
      </c>
      <c r="C10" s="3" t="s">
        <v>68</v>
      </c>
    </row>
    <row r="11" spans="1:5">
      <c r="A11" s="6" t="s">
        <v>32</v>
      </c>
      <c r="B11" s="3" t="s">
        <v>80</v>
      </c>
      <c r="C11" s="3" t="s">
        <v>68</v>
      </c>
    </row>
    <row r="12" spans="1:5">
      <c r="A12" s="6" t="s">
        <v>33</v>
      </c>
      <c r="B12" s="3" t="s">
        <v>31</v>
      </c>
      <c r="C12" s="3" t="s">
        <v>68</v>
      </c>
    </row>
    <row r="13" spans="1:5">
      <c r="A13" s="6" t="s">
        <v>35</v>
      </c>
      <c r="B13" s="3" t="s">
        <v>79</v>
      </c>
      <c r="C13" s="3" t="s">
        <v>68</v>
      </c>
    </row>
    <row r="14" spans="1:5">
      <c r="A14" s="6" t="s">
        <v>36</v>
      </c>
      <c r="B14" s="3" t="s">
        <v>81</v>
      </c>
      <c r="C14" s="3" t="s">
        <v>68</v>
      </c>
    </row>
    <row r="15" spans="1:5">
      <c r="A15" s="6" t="s">
        <v>56</v>
      </c>
      <c r="B15" s="3" t="s">
        <v>306</v>
      </c>
      <c r="C15" s="3" t="s">
        <v>69</v>
      </c>
    </row>
    <row r="16" spans="1:5">
      <c r="A16" s="6" t="s">
        <v>57</v>
      </c>
      <c r="B16" s="3" t="s">
        <v>307</v>
      </c>
      <c r="C16" s="3" t="s">
        <v>69</v>
      </c>
    </row>
    <row r="17" spans="1:4">
      <c r="A17" s="6" t="s">
        <v>58</v>
      </c>
      <c r="B17" s="3" t="s">
        <v>308</v>
      </c>
      <c r="C17" s="3" t="s">
        <v>69</v>
      </c>
    </row>
    <row r="18" spans="1:4">
      <c r="A18" s="6" t="s">
        <v>59</v>
      </c>
      <c r="B18" s="3" t="s">
        <v>309</v>
      </c>
      <c r="C18" s="3" t="s">
        <v>69</v>
      </c>
    </row>
    <row r="19" spans="1:4">
      <c r="A19" s="6" t="s">
        <v>62</v>
      </c>
      <c r="B19" s="3" t="s">
        <v>499</v>
      </c>
      <c r="C19" s="3" t="s">
        <v>69</v>
      </c>
    </row>
    <row r="20" spans="1:4">
      <c r="A20" s="6" t="s">
        <v>61</v>
      </c>
      <c r="B20" s="3" t="s">
        <v>310</v>
      </c>
      <c r="C20" s="3" t="s">
        <v>69</v>
      </c>
    </row>
    <row r="21" spans="1:4">
      <c r="A21" s="6" t="s">
        <v>60</v>
      </c>
      <c r="B21" s="3" t="s">
        <v>311</v>
      </c>
      <c r="C21" s="3" t="s">
        <v>69</v>
      </c>
    </row>
    <row r="22" spans="1:4">
      <c r="A22" s="6" t="s">
        <v>388</v>
      </c>
      <c r="B22" s="3" t="s">
        <v>312</v>
      </c>
      <c r="C22" s="3" t="s">
        <v>69</v>
      </c>
    </row>
    <row r="23" spans="1:4">
      <c r="A23" s="6" t="s">
        <v>63</v>
      </c>
      <c r="B23" s="3" t="s">
        <v>313</v>
      </c>
      <c r="C23" s="3" t="s">
        <v>69</v>
      </c>
    </row>
    <row r="24" spans="1:4">
      <c r="A24" s="6" t="s">
        <v>389</v>
      </c>
      <c r="B24" s="3" t="s">
        <v>314</v>
      </c>
      <c r="C24" s="3" t="s">
        <v>69</v>
      </c>
    </row>
    <row r="25" spans="1:4">
      <c r="A25" s="6" t="s">
        <v>64</v>
      </c>
      <c r="B25" s="3" t="s">
        <v>315</v>
      </c>
      <c r="C25" s="3" t="s">
        <v>69</v>
      </c>
    </row>
    <row r="26" spans="1:4">
      <c r="A26" s="6" t="s">
        <v>45</v>
      </c>
      <c r="B26" s="3" t="s">
        <v>88</v>
      </c>
      <c r="C26" s="3" t="s">
        <v>70</v>
      </c>
      <c r="D26" s="3"/>
    </row>
    <row r="27" spans="1:4">
      <c r="A27" s="6" t="s">
        <v>46</v>
      </c>
      <c r="B27" s="3" t="s">
        <v>89</v>
      </c>
      <c r="C27" s="3" t="s">
        <v>70</v>
      </c>
      <c r="D27" s="3"/>
    </row>
    <row r="28" spans="1:4">
      <c r="A28" s="6" t="s">
        <v>47</v>
      </c>
      <c r="B28" s="3" t="s">
        <v>90</v>
      </c>
      <c r="C28" s="3" t="s">
        <v>70</v>
      </c>
      <c r="D28" s="3"/>
    </row>
    <row r="29" spans="1:4">
      <c r="A29" s="6" t="s">
        <v>48</v>
      </c>
      <c r="B29" s="3" t="s">
        <v>91</v>
      </c>
      <c r="C29" s="3" t="s">
        <v>70</v>
      </c>
      <c r="D29" s="3"/>
    </row>
    <row r="30" spans="1:4">
      <c r="A30" s="6" t="s">
        <v>49</v>
      </c>
      <c r="B30" s="3" t="s">
        <v>92</v>
      </c>
      <c r="C30" s="3" t="s">
        <v>70</v>
      </c>
      <c r="D30" s="3"/>
    </row>
    <row r="31" spans="1:4">
      <c r="A31" s="6" t="s">
        <v>50</v>
      </c>
      <c r="B31" s="3" t="s">
        <v>93</v>
      </c>
      <c r="C31" s="3" t="s">
        <v>70</v>
      </c>
      <c r="D31" s="3"/>
    </row>
    <row r="32" spans="1:4">
      <c r="A32" s="6" t="s">
        <v>51</v>
      </c>
      <c r="B32" s="3" t="s">
        <v>94</v>
      </c>
      <c r="C32" s="3" t="s">
        <v>70</v>
      </c>
      <c r="D32" s="3"/>
    </row>
    <row r="33" spans="1:4">
      <c r="A33" s="6" t="s">
        <v>52</v>
      </c>
      <c r="B33" s="3" t="s">
        <v>95</v>
      </c>
      <c r="C33" s="3" t="s">
        <v>70</v>
      </c>
      <c r="D33" s="3"/>
    </row>
    <row r="34" spans="1:4">
      <c r="A34" s="6" t="s">
        <v>72</v>
      </c>
      <c r="C34" s="3" t="s">
        <v>70</v>
      </c>
    </row>
    <row r="35" spans="1:4">
      <c r="A35" s="6" t="s">
        <v>73</v>
      </c>
      <c r="C35" s="3" t="s">
        <v>70</v>
      </c>
    </row>
    <row r="36" spans="1:4">
      <c r="A36" s="6" t="s">
        <v>38</v>
      </c>
      <c r="B36" s="3" t="s">
        <v>500</v>
      </c>
      <c r="C36" s="3" t="s">
        <v>71</v>
      </c>
    </row>
    <row r="37" spans="1:4">
      <c r="A37" s="6" t="s">
        <v>40</v>
      </c>
      <c r="B37" s="3" t="s">
        <v>86</v>
      </c>
      <c r="C37" s="3" t="s">
        <v>71</v>
      </c>
    </row>
    <row r="38" spans="1:4">
      <c r="A38" s="6" t="s">
        <v>42</v>
      </c>
      <c r="B38" s="3" t="s">
        <v>87</v>
      </c>
      <c r="C38" s="3" t="s">
        <v>71</v>
      </c>
    </row>
    <row r="39" spans="1:4">
      <c r="A39" s="6" t="s">
        <v>39</v>
      </c>
      <c r="B39" s="3" t="s">
        <v>501</v>
      </c>
      <c r="C39" s="3" t="s">
        <v>71</v>
      </c>
    </row>
    <row r="40" spans="1:4">
      <c r="A40" s="6" t="s">
        <v>41</v>
      </c>
      <c r="B40" s="3" t="s">
        <v>85</v>
      </c>
      <c r="C40" s="3" t="s">
        <v>71</v>
      </c>
    </row>
    <row r="41" spans="1:4">
      <c r="A41" s="6" t="s">
        <v>19</v>
      </c>
      <c r="B41" s="3" t="s">
        <v>96</v>
      </c>
      <c r="C41" s="3" t="s">
        <v>74</v>
      </c>
    </row>
    <row r="42" spans="1:4">
      <c r="A42" s="6" t="s">
        <v>20</v>
      </c>
      <c r="B42" s="3" t="s">
        <v>316</v>
      </c>
      <c r="C42" s="3" t="s">
        <v>68</v>
      </c>
    </row>
    <row r="43" spans="1:4">
      <c r="A43" s="6" t="s">
        <v>21</v>
      </c>
      <c r="B43" s="3" t="s">
        <v>97</v>
      </c>
      <c r="C43" s="3" t="s">
        <v>74</v>
      </c>
    </row>
    <row r="44" spans="1:4">
      <c r="A44" s="6" t="s">
        <v>22</v>
      </c>
      <c r="B44" s="3" t="s">
        <v>98</v>
      </c>
      <c r="C44" s="3" t="s">
        <v>74</v>
      </c>
    </row>
    <row r="45" spans="1:4">
      <c r="A45" s="6" t="s">
        <v>43</v>
      </c>
      <c r="B45" s="3" t="s">
        <v>316</v>
      </c>
      <c r="C45" s="3" t="s">
        <v>69</v>
      </c>
    </row>
    <row r="46" spans="1:4">
      <c r="A46" s="6" t="s">
        <v>53</v>
      </c>
      <c r="B46" s="3" t="s">
        <v>316</v>
      </c>
      <c r="C46" s="3" t="s">
        <v>70</v>
      </c>
    </row>
    <row r="47" spans="1:4">
      <c r="A47" s="6" t="s">
        <v>54</v>
      </c>
      <c r="B47" s="3" t="s">
        <v>317</v>
      </c>
      <c r="C47" s="3" t="s">
        <v>70</v>
      </c>
    </row>
    <row r="51" spans="4:4">
      <c r="D51" s="9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6">
    <tabColor theme="1"/>
  </sheetPr>
  <dimension ref="A1:F4"/>
  <sheetViews>
    <sheetView workbookViewId="0">
      <selection activeCell="H18" sqref="H18"/>
    </sheetView>
  </sheetViews>
  <sheetFormatPr defaultColWidth="10.84375" defaultRowHeight="14.6"/>
  <cols>
    <col min="1" max="2" width="13.3828125" style="3" customWidth="1"/>
    <col min="3" max="3" width="6.4609375" style="3" bestFit="1" customWidth="1"/>
    <col min="6" max="6" width="13.3828125" bestFit="1" customWidth="1"/>
  </cols>
  <sheetData>
    <row r="1" spans="1:6">
      <c r="A1" s="3" t="s">
        <v>3</v>
      </c>
      <c r="B1" s="3" t="s">
        <v>4</v>
      </c>
      <c r="C1" s="3" t="s">
        <v>6</v>
      </c>
      <c r="E1" s="3" t="s">
        <v>8</v>
      </c>
      <c r="F1" s="3" t="s">
        <v>5</v>
      </c>
    </row>
    <row r="2" spans="1:6">
      <c r="A2" s="3" t="s">
        <v>5</v>
      </c>
      <c r="B2" s="3" t="s">
        <v>5</v>
      </c>
      <c r="C2" s="3" t="s">
        <v>7</v>
      </c>
    </row>
    <row r="3" spans="1:6">
      <c r="A3" s="3" t="s">
        <v>7</v>
      </c>
      <c r="B3" s="3" t="s">
        <v>7</v>
      </c>
      <c r="C3" s="3" t="s">
        <v>7</v>
      </c>
    </row>
    <row r="4" spans="1:6">
      <c r="A4" s="3" t="s">
        <v>417</v>
      </c>
      <c r="B4" s="96" t="s">
        <v>417</v>
      </c>
      <c r="C4" s="96" t="s">
        <v>417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16"/>
  <dimension ref="A1:A5"/>
  <sheetViews>
    <sheetView workbookViewId="0">
      <selection activeCell="A9" sqref="A9"/>
    </sheetView>
  </sheetViews>
  <sheetFormatPr defaultColWidth="10.84375" defaultRowHeight="14.6"/>
  <cols>
    <col min="1" max="1" width="11.4609375" style="151"/>
  </cols>
  <sheetData>
    <row r="1" spans="1:1">
      <c r="A1" s="150" t="s">
        <v>550</v>
      </c>
    </row>
    <row r="2" spans="1:1">
      <c r="A2" s="102" t="s">
        <v>493</v>
      </c>
    </row>
    <row r="3" spans="1:1">
      <c r="A3" s="35" t="s">
        <v>494</v>
      </c>
    </row>
    <row r="5" spans="1:1">
      <c r="A5" s="151" t="s">
        <v>551</v>
      </c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3"/>
  <dimension ref="A1:AV8"/>
  <sheetViews>
    <sheetView workbookViewId="0">
      <selection activeCell="K11" sqref="K11"/>
    </sheetView>
  </sheetViews>
  <sheetFormatPr defaultColWidth="10.84375" defaultRowHeight="14.6"/>
  <sheetData>
    <row r="1" spans="1:48">
      <c r="A1" s="187">
        <v>804.87351772999989</v>
      </c>
      <c r="B1" s="187">
        <v>3468.8319352400003</v>
      </c>
      <c r="C1" s="187">
        <v>2155.9234589100001</v>
      </c>
      <c r="D1" s="187">
        <v>2201.3952675399996</v>
      </c>
      <c r="E1" s="187">
        <v>2252.9391223399998</v>
      </c>
      <c r="F1" s="187">
        <v>2308.9745850599998</v>
      </c>
      <c r="G1" s="187">
        <v>2374.82595412</v>
      </c>
      <c r="H1" s="187">
        <v>9241.5902939499974</v>
      </c>
      <c r="I1" s="187">
        <v>8152.5899542199995</v>
      </c>
      <c r="J1" s="187">
        <v>7090.1273641899998</v>
      </c>
      <c r="K1" s="187">
        <v>1926.21934085</v>
      </c>
      <c r="L1" s="187">
        <v>1978.83169714</v>
      </c>
      <c r="M1" s="187">
        <v>8657.3825426499989</v>
      </c>
      <c r="N1" s="187">
        <v>1832.35573488</v>
      </c>
      <c r="O1" s="187">
        <v>1881.7257534199998</v>
      </c>
      <c r="P1" s="187">
        <v>12298.075169440001</v>
      </c>
      <c r="Q1" s="187">
        <v>1056.11312447</v>
      </c>
      <c r="R1" s="187">
        <v>2849.2617585600001</v>
      </c>
      <c r="S1" s="187">
        <v>2976.73592646</v>
      </c>
      <c r="T1" s="187">
        <v>2723.3053348200001</v>
      </c>
      <c r="U1" s="187">
        <v>758.28829341999995</v>
      </c>
      <c r="V1" s="187">
        <v>777.05235803999994</v>
      </c>
      <c r="W1" s="187">
        <v>796.46338089000005</v>
      </c>
      <c r="X1" s="187">
        <v>816.45116097000005</v>
      </c>
      <c r="Y1" s="187">
        <v>837.07329014000004</v>
      </c>
      <c r="Z1" s="187">
        <v>858.34414027000003</v>
      </c>
      <c r="AA1" s="187">
        <v>880.30320100999995</v>
      </c>
      <c r="AB1" s="187">
        <v>902.94107008000003</v>
      </c>
      <c r="AC1" s="187">
        <v>926.32551122999996</v>
      </c>
      <c r="AD1" s="187">
        <v>950.47561607</v>
      </c>
      <c r="AE1" s="187">
        <v>961.76393148</v>
      </c>
      <c r="AF1" s="187">
        <v>961.76393148</v>
      </c>
      <c r="AG1" s="187">
        <v>18059.789380099999</v>
      </c>
      <c r="AH1" s="187">
        <v>0</v>
      </c>
      <c r="AI1" s="187">
        <v>0</v>
      </c>
      <c r="AJ1" s="187">
        <v>0</v>
      </c>
      <c r="AK1" s="187">
        <v>0</v>
      </c>
      <c r="AL1" s="187">
        <v>0</v>
      </c>
      <c r="AM1" s="187">
        <v>0</v>
      </c>
      <c r="AN1" s="187">
        <v>0</v>
      </c>
      <c r="AO1" s="187">
        <v>0</v>
      </c>
      <c r="AP1" s="187">
        <v>0</v>
      </c>
      <c r="AQ1" s="187">
        <v>0</v>
      </c>
      <c r="AR1" s="187">
        <v>0</v>
      </c>
      <c r="AS1" s="187">
        <v>0</v>
      </c>
      <c r="AT1" s="187">
        <v>0</v>
      </c>
      <c r="AU1" s="187">
        <v>0</v>
      </c>
      <c r="AV1" s="187">
        <v>0</v>
      </c>
    </row>
    <row r="4" spans="1:48">
      <c r="A4">
        <v>804.87351772999989</v>
      </c>
      <c r="B4">
        <v>3468.8319352400003</v>
      </c>
      <c r="C4">
        <v>2155.9234589100001</v>
      </c>
      <c r="D4">
        <v>2201.3952675399996</v>
      </c>
      <c r="E4">
        <v>2252.9391223399998</v>
      </c>
      <c r="F4">
        <v>2308.9745850599998</v>
      </c>
      <c r="G4">
        <v>2374.82595412</v>
      </c>
      <c r="H4">
        <v>9241.5902939499974</v>
      </c>
      <c r="I4">
        <v>8152.5899542199995</v>
      </c>
      <c r="J4">
        <v>7090.1273641899998</v>
      </c>
      <c r="K4">
        <v>1926.21934085</v>
      </c>
      <c r="L4">
        <v>1978.83169714</v>
      </c>
      <c r="M4">
        <v>8657.3825426499989</v>
      </c>
      <c r="N4">
        <v>1832.35573488</v>
      </c>
      <c r="O4">
        <v>1881.7257534199998</v>
      </c>
      <c r="P4">
        <v>12298.075169440001</v>
      </c>
      <c r="Q4">
        <v>1056.11312447</v>
      </c>
      <c r="R4">
        <v>2849.2617585600001</v>
      </c>
      <c r="S4">
        <v>2976.73592646</v>
      </c>
      <c r="T4">
        <v>2723.3053348200001</v>
      </c>
      <c r="U4">
        <v>758.28829341999995</v>
      </c>
      <c r="V4">
        <v>777.05235803999994</v>
      </c>
      <c r="W4">
        <v>796.46338089000005</v>
      </c>
      <c r="X4">
        <v>816.45116097000005</v>
      </c>
      <c r="Y4">
        <v>837.07329014000004</v>
      </c>
      <c r="Z4">
        <v>858.34414027000003</v>
      </c>
      <c r="AA4">
        <v>880.30320100999995</v>
      </c>
      <c r="AB4">
        <v>902.94107008000003</v>
      </c>
      <c r="AC4">
        <v>926.32551122999996</v>
      </c>
      <c r="AD4">
        <v>950.47561607</v>
      </c>
      <c r="AE4">
        <v>961.76393148</v>
      </c>
      <c r="AF4">
        <v>961.76393148</v>
      </c>
      <c r="AG4">
        <v>18059.789380099999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</row>
    <row r="6" spans="1:48">
      <c r="A6" s="188">
        <v>893.49823041999969</v>
      </c>
      <c r="B6" s="188">
        <v>3264.0522696800008</v>
      </c>
      <c r="C6" s="188">
        <v>2052.47077687</v>
      </c>
      <c r="D6" s="188">
        <v>2080.0601455400006</v>
      </c>
      <c r="E6" s="188">
        <v>2181.33454695</v>
      </c>
      <c r="F6" s="188">
        <v>2088.7905712800007</v>
      </c>
      <c r="G6" s="188">
        <v>1684.0149015399995</v>
      </c>
      <c r="H6" s="188">
        <v>1351.6802580100004</v>
      </c>
      <c r="I6" s="188">
        <v>931.35787700000014</v>
      </c>
      <c r="J6" s="188">
        <v>1707.1846306900006</v>
      </c>
      <c r="K6" s="188">
        <v>1447.23082484</v>
      </c>
      <c r="L6" s="188">
        <v>1302.7723201100005</v>
      </c>
      <c r="M6" s="188">
        <v>1637.6101004800003</v>
      </c>
      <c r="N6" s="188">
        <v>307.02752104999996</v>
      </c>
      <c r="O6" s="188">
        <v>242.26644658999996</v>
      </c>
      <c r="P6" s="188">
        <v>216.13731188</v>
      </c>
      <c r="Q6" s="188">
        <v>202.13060805999999</v>
      </c>
      <c r="R6" s="188">
        <v>183.84775160999999</v>
      </c>
      <c r="S6" s="188">
        <v>172.02057396000001</v>
      </c>
      <c r="T6" s="188">
        <v>143.90585862</v>
      </c>
      <c r="U6" s="188">
        <v>60.29015828</v>
      </c>
      <c r="V6" s="188">
        <v>39.80000416</v>
      </c>
      <c r="W6" s="188">
        <v>23.989771300000001</v>
      </c>
      <c r="X6" s="188">
        <v>3.3007126599999999</v>
      </c>
      <c r="Y6" s="188">
        <v>1.6910026299999998</v>
      </c>
      <c r="Z6" s="188">
        <v>4.0943769999999997E-2</v>
      </c>
      <c r="AA6" s="188">
        <v>4.2121159999999998E-2</v>
      </c>
      <c r="AB6" s="188">
        <v>4.3316060000000003E-2</v>
      </c>
      <c r="AC6" s="188">
        <v>4.4528760000000001E-2</v>
      </c>
      <c r="AD6" s="188">
        <v>4.5758569999999998E-2</v>
      </c>
      <c r="AE6" s="188">
        <v>4.5957619999999998E-2</v>
      </c>
      <c r="AF6" s="188">
        <v>4.5623520000000001E-2</v>
      </c>
      <c r="AG6" s="188">
        <v>4.52894E-2</v>
      </c>
      <c r="AH6" s="188">
        <v>4.4955540000000002E-2</v>
      </c>
      <c r="AI6" s="188">
        <v>2.2352449999999999E-2</v>
      </c>
      <c r="AJ6" s="188">
        <v>0</v>
      </c>
      <c r="AK6" s="188">
        <v>0</v>
      </c>
      <c r="AL6" s="188">
        <v>0</v>
      </c>
      <c r="AM6" s="188">
        <v>0</v>
      </c>
      <c r="AN6" s="188">
        <v>0</v>
      </c>
      <c r="AO6" s="188">
        <v>0</v>
      </c>
      <c r="AP6" s="188">
        <v>0</v>
      </c>
      <c r="AQ6" s="188">
        <v>0</v>
      </c>
      <c r="AR6" s="188">
        <v>0</v>
      </c>
      <c r="AS6" s="188">
        <v>0</v>
      </c>
      <c r="AT6" s="188">
        <v>0</v>
      </c>
      <c r="AU6" s="188">
        <v>0</v>
      </c>
      <c r="AV6" s="188">
        <v>0</v>
      </c>
    </row>
    <row r="8" spans="1:48">
      <c r="A8">
        <v>893.49823041999969</v>
      </c>
      <c r="B8">
        <v>3264.0522696800008</v>
      </c>
      <c r="C8">
        <v>2052.47077687</v>
      </c>
      <c r="D8">
        <v>2080.0601455400006</v>
      </c>
      <c r="E8">
        <v>2181.33454695</v>
      </c>
      <c r="F8">
        <v>2088.7905712800007</v>
      </c>
      <c r="G8">
        <v>1684.0149015399995</v>
      </c>
      <c r="H8">
        <v>1351.6802580100004</v>
      </c>
      <c r="I8">
        <v>931.35787700000014</v>
      </c>
      <c r="J8">
        <v>1707.1846306900006</v>
      </c>
      <c r="K8">
        <v>1447.23082484</v>
      </c>
      <c r="L8">
        <v>1302.7723201100005</v>
      </c>
      <c r="M8">
        <v>1637.6101004800003</v>
      </c>
      <c r="N8">
        <v>307.02752104999996</v>
      </c>
      <c r="O8">
        <v>242.26644658999996</v>
      </c>
      <c r="P8">
        <v>216.13731188</v>
      </c>
      <c r="Q8">
        <v>202.13060805999999</v>
      </c>
      <c r="R8">
        <v>183.84775160999999</v>
      </c>
      <c r="S8">
        <v>172.02057396000001</v>
      </c>
      <c r="T8">
        <v>143.90585862</v>
      </c>
      <c r="U8">
        <v>60.29015828</v>
      </c>
      <c r="V8">
        <v>39.80000416</v>
      </c>
      <c r="W8">
        <v>23.989771300000001</v>
      </c>
      <c r="X8">
        <v>3.3007126599999999</v>
      </c>
      <c r="Y8">
        <v>1.6910026299999998</v>
      </c>
      <c r="Z8">
        <v>4.0943769999999997E-2</v>
      </c>
      <c r="AA8">
        <v>4.2121159999999998E-2</v>
      </c>
      <c r="AB8">
        <v>4.3316060000000003E-2</v>
      </c>
      <c r="AC8">
        <v>4.4528760000000001E-2</v>
      </c>
      <c r="AD8">
        <v>4.5758569999999998E-2</v>
      </c>
      <c r="AE8">
        <v>4.5957619999999998E-2</v>
      </c>
      <c r="AF8">
        <v>4.5623520000000001E-2</v>
      </c>
      <c r="AG8">
        <v>4.52894E-2</v>
      </c>
      <c r="AH8">
        <v>4.4955540000000002E-2</v>
      </c>
      <c r="AI8">
        <v>2.2352449999999999E-2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7"/>
  <dimension ref="A2:A8"/>
  <sheetViews>
    <sheetView showGridLines="0" showRowColHeaders="0" workbookViewId="0">
      <selection activeCell="A34" sqref="A34"/>
    </sheetView>
  </sheetViews>
  <sheetFormatPr defaultColWidth="10.84375" defaultRowHeight="14.6"/>
  <sheetData>
    <row r="2" spans="1:1" ht="18.45">
      <c r="A2" s="219" t="s">
        <v>593</v>
      </c>
    </row>
    <row r="4" spans="1:1">
      <c r="A4" t="s">
        <v>594</v>
      </c>
    </row>
    <row r="6" spans="1:1">
      <c r="A6" t="s">
        <v>596</v>
      </c>
    </row>
    <row r="8" spans="1:1">
      <c r="A8" t="s">
        <v>628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</vt:i4>
      </vt:variant>
    </vt:vector>
  </HeadingPairs>
  <TitlesOfParts>
    <vt:vector size="30" baseType="lpstr">
      <vt:lpstr>start</vt:lpstr>
      <vt:lpstr>start_back</vt:lpstr>
      <vt:lpstr>start_usr</vt:lpstr>
      <vt:lpstr>instrucciones</vt:lpstr>
      <vt:lpstr>resumen</vt:lpstr>
      <vt:lpstr>mercados</vt:lpstr>
      <vt:lpstr>portafolio</vt:lpstr>
      <vt:lpstr>intercambio</vt:lpstr>
      <vt:lpstr>bond_swaps</vt:lpstr>
      <vt:lpstr>bd_historicas</vt:lpstr>
      <vt:lpstr>icap</vt:lpstr>
      <vt:lpstr>curvas</vt:lpstr>
      <vt:lpstr>curvas_EUR</vt:lpstr>
      <vt:lpstr>bond_interp</vt:lpstr>
      <vt:lpstr>sov_bond</vt:lpstr>
      <vt:lpstr>cf_analisis</vt:lpstr>
      <vt:lpstr>bs_flujo</vt:lpstr>
      <vt:lpstr>bd_schd</vt:lpstr>
      <vt:lpstr>prepago</vt:lpstr>
      <vt:lpstr>flujos</vt:lpstr>
      <vt:lpstr>flujos_res</vt:lpstr>
      <vt:lpstr>bd_bonos</vt:lpstr>
      <vt:lpstr>bond_calc</vt:lpstr>
      <vt:lpstr>bd_bonos (2)</vt:lpstr>
      <vt:lpstr>tickers_mkts</vt:lpstr>
      <vt:lpstr>users</vt:lpstr>
      <vt:lpstr>pendientes</vt:lpstr>
      <vt:lpstr>Hoja2</vt:lpstr>
      <vt:lpstr>Acerca de</vt:lpstr>
      <vt:lpstr>inclusion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pportocarrero</dc:creator>
  <cp:lastModifiedBy>Pedro Portocarrero</cp:lastModifiedBy>
  <cp:lastPrinted>2019-06-14T22:34:31Z</cp:lastPrinted>
  <dcterms:created xsi:type="dcterms:W3CDTF">2019-01-02T15:20:44Z</dcterms:created>
  <dcterms:modified xsi:type="dcterms:W3CDTF">2022-01-27T00:41:28Z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preadsheetBuilder_1">
    <vt:lpwstr>eyIwIjoiSGlzdG9yeSIsIjEiOjAsIjIiOjEsIjMiOjEsIjQiOjEsIjUiOjEsIjYiOjEsIjciOjEsIjgiOjAsIjkiOjEsIjEwIjoxLCIxMSI6MH0=</vt:lpwstr>
  </property>
</Properties>
</file>